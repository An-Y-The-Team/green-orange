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ty Ý ÂN\01. MẪU FILE\"/>
    </mc:Choice>
  </mc:AlternateContent>
  <xr:revisionPtr revIDLastSave="0" documentId="13_ncr:1_{6F27135E-5888-447E-92E4-4125C074AF79}" xr6:coauthVersionLast="47" xr6:coauthVersionMax="47" xr10:uidLastSave="{00000000-0000-0000-0000-000000000000}"/>
  <bookViews>
    <workbookView xWindow="-120" yWindow="-120" windowWidth="24240" windowHeight="13020" tabRatio="589" activeTab="4" xr2:uid="{00000000-000D-0000-FFFF-FFFF00000000}"/>
  </bookViews>
  <sheets>
    <sheet name="Bia" sheetId="15" r:id="rId1"/>
    <sheet name="Bang bao gia" sheetId="11" r:id="rId2"/>
    <sheet name="Biên bảng nghiệm thu" sheetId="17" r:id="rId3"/>
    <sheet name="quyết toán khối lượng" sheetId="20" r:id="rId4"/>
    <sheet name="đề nghị thanh toán" sheetId="18" r:id="rId5"/>
    <sheet name="Sheet1" sheetId="21" r:id="rId6"/>
  </sheets>
  <externalReferences>
    <externalReference r:id="rId7"/>
  </externalReferences>
  <definedNames>
    <definedName name="_3Markup" localSheetId="1">'Bang bao gia'!#REF!</definedName>
    <definedName name="_3Markup">#REF!</definedName>
    <definedName name="CableImport" localSheetId="1">#REF!</definedName>
    <definedName name="CableImport">#REF!</definedName>
    <definedName name="Cdiscount" localSheetId="1">'[1]D) Cabling Installation'!#REF!</definedName>
    <definedName name="Cdiscount">'[1]D) Cabling Installation'!#REF!</definedName>
    <definedName name="COGS" localSheetId="1">#REF!</definedName>
    <definedName name="COGS">#REF!</definedName>
    <definedName name="Customs" localSheetId="1">#REF!</definedName>
    <definedName name="Customs">#REF!</definedName>
    <definedName name="Discount" localSheetId="1">'Bang bao gia'!#REF!</definedName>
    <definedName name="Discount">#REF!</definedName>
    <definedName name="DiscountP" localSheetId="1">'[1]D) Cabling Installation'!#REF!</definedName>
    <definedName name="DiscountP">'[1]D) Cabling Installation'!#REF!</definedName>
    <definedName name="Exchange" localSheetId="1">'[1]D) Cabling Installation'!#REF!</definedName>
    <definedName name="Exchange">'[1]D) Cabling Installation'!#REF!</definedName>
    <definedName name="FOB" localSheetId="1">'[1]D) Cabling Installation'!#REF!</definedName>
    <definedName name="FOB">'[1]D) Cabling Installation'!#REF!</definedName>
    <definedName name="Freight" localSheetId="1">#REF!</definedName>
    <definedName name="Freight">#REF!</definedName>
    <definedName name="Import" localSheetId="1">'Bang bao gia'!#REF!</definedName>
    <definedName name="Import">#REF!</definedName>
    <definedName name="Margin" localSheetId="1">'[1]D) Cabling Installation'!#REF!</definedName>
    <definedName name="Margin">'[1]D) Cabling Installation'!#REF!</definedName>
    <definedName name="Markup" localSheetId="1">'Bang bao gia'!#REF!</definedName>
    <definedName name="Markup">#REF!</definedName>
    <definedName name="nghiagia" localSheetId="1">'Bang bao gia'!#REF!</definedName>
    <definedName name="nghiagia">#REF!</definedName>
    <definedName name="PCMarkup" localSheetId="1">'Bang bao gia'!#REF!</definedName>
    <definedName name="PCMarkup">#REF!</definedName>
    <definedName name="_xlnm.Print_Area" localSheetId="1">'Bang bao gia'!$A$1:$G$62</definedName>
    <definedName name="_xlnm.Print_Area" localSheetId="2">'Biên bảng nghiệm thu'!$A$1:$G$59</definedName>
    <definedName name="_xlnm.Print_Area" localSheetId="4">'đề nghị thanh toán'!$A$1:$C$28</definedName>
    <definedName name="_xlnm.Print_Area" localSheetId="3">'quyết toán khối lượng'!$A$1:$I$64</definedName>
    <definedName name="Rack" localSheetId="1">#REF!</definedName>
    <definedName name="Rack">#REF!</definedName>
    <definedName name="Service" localSheetId="1">'Bang bao gia'!#REF!</definedName>
    <definedName name="Service">#REF!</definedName>
    <definedName name="Sing" localSheetId="1">'[1]D) Cabling Installation'!#REF!</definedName>
    <definedName name="Sing">'[1]D) Cabling Installation'!#REF!</definedName>
    <definedName name="Tax" localSheetId="1">'Bang bao gia'!#REF!</definedName>
    <definedName name="Ta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8" l="1"/>
  <c r="C11" i="18"/>
  <c r="C10" i="18"/>
  <c r="C9" i="18"/>
  <c r="A2" i="11"/>
  <c r="B12" i="20"/>
  <c r="B11" i="20"/>
  <c r="B10" i="20"/>
  <c r="B9" i="20"/>
  <c r="B8" i="20"/>
  <c r="B7" i="20"/>
  <c r="B6" i="20"/>
  <c r="G2" i="11"/>
  <c r="A3" i="11"/>
  <c r="G28" i="21"/>
  <c r="F27" i="20" l="1"/>
  <c r="H27" i="20"/>
  <c r="H29" i="20"/>
  <c r="H32" i="20"/>
  <c r="H33" i="20"/>
  <c r="H35" i="20"/>
  <c r="H36" i="20"/>
  <c r="H38" i="20"/>
  <c r="H40" i="20"/>
  <c r="H41" i="20"/>
  <c r="H42" i="20"/>
  <c r="H43" i="20"/>
  <c r="F29" i="20"/>
  <c r="F32" i="20"/>
  <c r="F33" i="20"/>
  <c r="F35" i="20"/>
  <c r="F36" i="20"/>
  <c r="F38" i="20"/>
  <c r="F40" i="20"/>
  <c r="F41" i="20"/>
  <c r="F42" i="20"/>
  <c r="F43" i="20"/>
  <c r="H31" i="20"/>
  <c r="A36" i="20"/>
  <c r="A32" i="20"/>
  <c r="A33" i="20" s="1"/>
  <c r="F31" i="20"/>
  <c r="A35" i="17"/>
  <c r="A31" i="17"/>
  <c r="A32" i="17" s="1"/>
  <c r="F41" i="11"/>
  <c r="F28" i="11"/>
  <c r="F29" i="11"/>
  <c r="F30" i="11"/>
  <c r="A28" i="11"/>
  <c r="A29" i="11" s="1"/>
  <c r="F31" i="11"/>
  <c r="F32" i="11"/>
  <c r="H46" i="20" l="1"/>
  <c r="H48" i="20" s="1"/>
  <c r="F46" i="20"/>
  <c r="F48" i="20" s="1"/>
  <c r="A32" i="11"/>
  <c r="F39" i="11"/>
  <c r="F38" i="11"/>
  <c r="F49" i="20" l="1"/>
  <c r="F50" i="20" s="1"/>
  <c r="H49" i="20"/>
  <c r="H50" i="20" s="1"/>
  <c r="A9" i="17"/>
  <c r="F7" i="11" l="1"/>
  <c r="F34" i="11" l="1"/>
  <c r="F23" i="11"/>
  <c r="F25" i="11"/>
  <c r="F27" i="11"/>
  <c r="F36" i="11"/>
  <c r="F37" i="11"/>
  <c r="F22" i="11"/>
  <c r="F42" i="11" s="1"/>
  <c r="F44" i="11" s="1"/>
  <c r="B10" i="11"/>
  <c r="B9" i="11"/>
  <c r="B8" i="11"/>
  <c r="B7" i="11"/>
  <c r="B6" i="11"/>
  <c r="F45" i="11" l="1"/>
  <c r="F46" i="11" s="1"/>
  <c r="B19" i="20" l="1"/>
  <c r="B18" i="20"/>
  <c r="B17" i="20"/>
  <c r="B16" i="20"/>
  <c r="B15" i="20"/>
  <c r="B14" i="20"/>
  <c r="H2" i="20"/>
  <c r="A4" i="20"/>
  <c r="A3" i="20"/>
  <c r="A2" i="20"/>
  <c r="G3" i="11" l="1"/>
  <c r="E13" i="11" l="1"/>
  <c r="D9" i="17"/>
  <c r="A4" i="11"/>
  <c r="A10" i="17"/>
  <c r="A18" i="17"/>
  <c r="A14" i="17"/>
  <c r="D12" i="17"/>
  <c r="A12" i="17"/>
  <c r="A11" i="17"/>
  <c r="D15" i="17"/>
  <c r="A8" i="17"/>
  <c r="A17" i="17"/>
  <c r="A16" i="17"/>
  <c r="A15" i="17"/>
  <c r="F3" i="17"/>
  <c r="A5" i="17"/>
  <c r="A4" i="17"/>
  <c r="A3" i="17"/>
  <c r="C10" i="11"/>
  <c r="B16" i="11"/>
  <c r="B15" i="11"/>
  <c r="B14" i="11"/>
  <c r="B13" i="11"/>
  <c r="B12" i="11"/>
</calcChain>
</file>

<file path=xl/sharedStrings.xml><?xml version="1.0" encoding="utf-8"?>
<sst xmlns="http://schemas.openxmlformats.org/spreadsheetml/2006/main" count="334" uniqueCount="196">
  <si>
    <t>ĐVT</t>
  </si>
  <si>
    <t>2.</t>
  </si>
  <si>
    <t>a.</t>
  </si>
  <si>
    <t xml:space="preserve">( Ký, ghi rõ họ tên )  </t>
  </si>
  <si>
    <t>Mô tả công việc</t>
  </si>
  <si>
    <t>Chúng tôi gồm có:</t>
  </si>
  <si>
    <t>Ghi chú</t>
  </si>
  <si>
    <t xml:space="preserve">BẢNG BÁO GIÁ </t>
  </si>
  <si>
    <t>Nội dung báo giá:</t>
  </si>
  <si>
    <t>c</t>
  </si>
  <si>
    <t>1.</t>
  </si>
  <si>
    <t>STT</t>
  </si>
  <si>
    <t xml:space="preserve">BIÊN BẢN NGHIỆM THU KHỐI LƯỢNG CÔNG VIỆC 
</t>
  </si>
  <si>
    <t>Nội dung nghiệm thu:</t>
  </si>
  <si>
    <t>Stt</t>
  </si>
  <si>
    <t>% Hoàn thành</t>
  </si>
  <si>
    <t>Tổng % trung bình :</t>
  </si>
  <si>
    <t>b.</t>
  </si>
  <si>
    <t>Nghiệm thu chung về chất lượng:</t>
  </si>
  <si>
    <t xml:space="preserve">Đạt   </t>
  </si>
  <si>
    <t>Không đạt</t>
  </si>
  <si>
    <t>Ý kiến sau khi sửa chữa:</t>
  </si>
  <si>
    <t xml:space="preserve">c. </t>
  </si>
  <si>
    <t xml:space="preserve">d. </t>
  </si>
  <si>
    <t>Bên B đã bàn giao các hạng mục theo công việc với khối lượng thực tế như sau:</t>
  </si>
  <si>
    <t>Bên B đã khảo sát và báo giá khối lượng khối lượng thực tế như sau:</t>
  </si>
  <si>
    <t>.</t>
  </si>
  <si>
    <t xml:space="preserve"> ĐẠI DIỆN BÊN A </t>
  </si>
  <si>
    <t xml:space="preserve">   ĐẠI DIỆN BÊN B </t>
  </si>
  <si>
    <t>a</t>
  </si>
  <si>
    <t>Biên bản nghiệm thu được làm thành 2 bản, mỗi bên có giữ 1 bản có giá trị như nhau.</t>
  </si>
  <si>
    <t>Fax: ………………..</t>
  </si>
  <si>
    <t>Bảng báo giá làm thành 2 bản, mỗi bên có giữ 1 bản có giá trị như nhau.(Ký tên, đóng dấu)</t>
  </si>
  <si>
    <t>Khối lượng</t>
  </si>
  <si>
    <t>Bên B đã hoàn tất những công việc theo yêu cầu của bên A.</t>
  </si>
  <si>
    <t xml:space="preserve">Thành tiền </t>
  </si>
  <si>
    <t>b</t>
  </si>
  <si>
    <t>Hình Thức thanh Toán:</t>
  </si>
  <si>
    <t xml:space="preserve"> ĐẠI DIỆN BÊN B</t>
  </si>
  <si>
    <t>Nội dung công việc</t>
  </si>
  <si>
    <t>I</t>
  </si>
  <si>
    <t>Bảo hiểm công trình</t>
  </si>
  <si>
    <t>gói</t>
  </si>
  <si>
    <t>II</t>
  </si>
  <si>
    <t>III</t>
  </si>
  <si>
    <t>IV</t>
  </si>
  <si>
    <t>Tổng cộng trước thuế:</t>
  </si>
  <si>
    <t>Vận chuyển rác xà bần ra khỏi công trình</t>
  </si>
  <si>
    <t>Nếu có phát sinh sẽ tính tiền thêm</t>
  </si>
  <si>
    <t>Nội dung quyết toán</t>
  </si>
  <si>
    <t>Sau khi xem xét thực tế, hai bên tiến hành nghiệm thu và quyết toán khối lượng công việc như sau</t>
  </si>
  <si>
    <t>Đơn giá</t>
  </si>
  <si>
    <t>Khối Lượng Hợp Đồng</t>
  </si>
  <si>
    <t>Thành Tiền Hợp Đồng</t>
  </si>
  <si>
    <t>Khối Lượng Thực Tế</t>
  </si>
  <si>
    <t>Thành Tiền Thực Tế</t>
  </si>
  <si>
    <t>Quyết toán chung về khối lượng:</t>
  </si>
  <si>
    <t>Biên bản quyết toán khối lượng là cơ sở để thanh toán.</t>
  </si>
  <si>
    <t>Biên bản quyết toán khối lượng được lập thành 02 bản, mỗi bên giữ 01 bản có giá trị như nhau.</t>
  </si>
  <si>
    <t xml:space="preserve"> ĐẠI DIỆN BÊN A - </t>
  </si>
  <si>
    <t xml:space="preserve">Khối Lượng hợp đồng
</t>
  </si>
  <si>
    <t xml:space="preserve">Khối Lượng nghiệm thu
</t>
  </si>
  <si>
    <t>Biên bản nghiệm thu là cơ sở để làm quyết toán</t>
  </si>
  <si>
    <t>m2</t>
  </si>
  <si>
    <t>V</t>
  </si>
  <si>
    <t>Bên B: CÔNG TY TNHH THƯƠNG MẠI DỊCH VỤ Ý ÂN</t>
  </si>
  <si>
    <t>Địa chỉ: 256/41 Nguyễn Tiểu La, Phường Diên Hồng, TP.HCM</t>
  </si>
  <si>
    <t>Mã số thuế: 0319016318</t>
  </si>
  <si>
    <t>Điện thoại: 0975460430</t>
  </si>
  <si>
    <t>Điện thoại: …...........</t>
  </si>
  <si>
    <t xml:space="preserve">Đợt 1: tạm ứng 80% giá trị báo giá trước khi thi công. </t>
  </si>
  <si>
    <t>Ý ÂN được quyền thanh lý ve chai</t>
  </si>
  <si>
    <t>Đơn giá chưa bao gồm VAT</t>
  </si>
  <si>
    <t>Thuế VAT 8%:</t>
  </si>
  <si>
    <t>Tổng cộng sau thuế:</t>
  </si>
  <si>
    <t>CÔNG TÁC CHUẨN BỊ</t>
  </si>
  <si>
    <t>Đóng hoarding</t>
  </si>
  <si>
    <t>HẠNG MỤC TRẦN</t>
  </si>
  <si>
    <t>HẠNG MỤC VÁCH</t>
  </si>
  <si>
    <t>HẠNG MỤC SÀN</t>
  </si>
  <si>
    <t>HẠNG MỤC SƠN NƯỚC</t>
  </si>
  <si>
    <t>HẠNG MỤC ĐIỆN LẠNH</t>
  </si>
  <si>
    <t>1.1</t>
  </si>
  <si>
    <t>1.2</t>
  </si>
  <si>
    <t>2.1</t>
  </si>
  <si>
    <t>3.1</t>
  </si>
  <si>
    <t>5.1</t>
  </si>
  <si>
    <t>6.1</t>
  </si>
  <si>
    <t>6.2</t>
  </si>
  <si>
    <t>VI</t>
  </si>
  <si>
    <t>Đợt 2: Sau khi Bên B hoàn tất toàn bộ hạng mục công việc, được Vincom và bên A nghiệm thu xác nhận, Bên A thanh toán dứt điểm cho bên B 20% giá trị còn lại của hợp trong vòng 07 ngày làm việc kể từ ngày Bên A nhận đầy đủ hồ sơ đề nghị thanh toán hợp lệ của Bên B</t>
  </si>
  <si>
    <t>BẢNG GIÁ TRỊ QUYẾT TOÁN KHỐI LƯỢNG</t>
  </si>
  <si>
    <t xml:space="preserve"> ĐẠI DIỆN BÊN B - Ý ÂN</t>
  </si>
  <si>
    <t>6.3</t>
  </si>
  <si>
    <t>6.4</t>
  </si>
  <si>
    <t>Cố định đầu báo khói</t>
  </si>
  <si>
    <t>cái</t>
  </si>
  <si>
    <t>Đục sàn</t>
  </si>
  <si>
    <t>Cán sàn</t>
  </si>
  <si>
    <t xml:space="preserve"> </t>
  </si>
  <si>
    <t>Thời gian thi công: dự định làm trong 15 ngày khi thủ tục 03 bên hoàn tất và có giấy phép thi công</t>
  </si>
  <si>
    <t>Đại diện bởi Bà: Trần Phạm Ngọc Trân</t>
  </si>
  <si>
    <t>Chức vụ: Phó Giám đốc</t>
  </si>
  <si>
    <t>Tháo trần thạch cao</t>
  </si>
  <si>
    <t>Tháo vách kho</t>
  </si>
  <si>
    <t>Tháo cửa cuốn</t>
  </si>
  <si>
    <t>Tháo mặt dựng</t>
  </si>
  <si>
    <t>Sơn nước</t>
  </si>
  <si>
    <t>Cố định đầu cứu hỏa về theo tiêu chuẩn tòa nhà</t>
  </si>
  <si>
    <t>đầu</t>
  </si>
  <si>
    <t>Cố định lạnh hồi</t>
  </si>
  <si>
    <t>Trả điện về nguồn</t>
  </si>
  <si>
    <t>TRẦN PHẠM NGỌC TRÂN</t>
  </si>
  <si>
    <t>Bên B hỗ trợ quầy kệ cho lên xe, bên A chuyển đi</t>
  </si>
  <si>
    <t>Giảm giá trước thuế:</t>
  </si>
  <si>
    <t>Tổng cộng trước thuế sau khi giảm giá:</t>
  </si>
  <si>
    <t>trọn gói</t>
  </si>
  <si>
    <t>HẠNG MỤC VẬN CHUYỂN</t>
  </si>
  <si>
    <t>VII</t>
  </si>
  <si>
    <t>Bên Ý ÂN hỗ trợ chuyển quầy kệ từ gian hàng cho lên xe, bên Minigood chuyển đi</t>
  </si>
  <si>
    <t>Ngày:         /07/2026</t>
  </si>
  <si>
    <t>Nghiệm thu về việc tháo dỡ hoàn trả mặt bằng cho công trình MiniGood  L3-14C Vincom Mega Mall, 161 Võ Nguyên Giáp, Phường An Khánh, TP.HCM của bên A</t>
  </si>
  <si>
    <t>Ngày:        /07/2026</t>
  </si>
  <si>
    <t xml:space="preserve">                                     CỘNG HÒA XÃ HỘI CHỦ NGHĨA VIỆT NAM</t>
  </si>
  <si>
    <t xml:space="preserve">                                      ĐỘC LẬP - TỰ DO - HẠNH PHÚC</t>
  </si>
  <si>
    <t xml:space="preserve">                          ____________________</t>
  </si>
  <si>
    <t xml:space="preserve">                  BIÊN BẢN QUYẾT TOÁN</t>
  </si>
  <si>
    <r>
      <t>Công trình</t>
    </r>
    <r>
      <rPr>
        <i/>
        <sz val="11"/>
        <rFont val="Arial"/>
        <family val="2"/>
      </rPr>
      <t>: Bread Talk</t>
    </r>
  </si>
  <si>
    <r>
      <t>Hạng mục</t>
    </r>
    <r>
      <rPr>
        <i/>
        <sz val="11"/>
        <rFont val="Arial"/>
        <family val="2"/>
      </rPr>
      <t>: hoàn trả mặt bằng</t>
    </r>
  </si>
  <si>
    <r>
      <t>Địa chỉ:</t>
    </r>
    <r>
      <rPr>
        <i/>
        <sz val="11"/>
        <rFont val="Arial"/>
        <family val="2"/>
      </rPr>
      <t xml:space="preserve"> B3-15A, TTTM Vincom Center, 72 Lê Thánh Tôn, Phường Sài Gòn, TP.HCM</t>
    </r>
  </si>
  <si>
    <t>Bên A: CÔNG TY CỔ PHẦN BÌNH MINH TOÀN CẦU</t>
  </si>
  <si>
    <t>Đại diện bởi: TRẦN KHÁNH VÂN</t>
  </si>
  <si>
    <t>Chức vụ: Phó Tổng Giám Đốc</t>
  </si>
  <si>
    <r>
      <t>Địa chỉ:</t>
    </r>
    <r>
      <rPr>
        <i/>
        <sz val="11"/>
        <color theme="1"/>
        <rFont val="Arial"/>
        <family val="2"/>
      </rPr>
      <t xml:space="preserve"> 121 (R2-04) đường 10 Tây, khu Nam Quang 1 (H29), Phường Tân Hưng, Thành phố Hồ Chí Minh, Việt Nam</t>
    </r>
  </si>
  <si>
    <r>
      <t>Mã số thuế:</t>
    </r>
    <r>
      <rPr>
        <i/>
        <sz val="11"/>
        <color theme="1"/>
        <rFont val="Arial"/>
        <family val="2"/>
      </rPr>
      <t xml:space="preserve">  0309554620</t>
    </r>
  </si>
  <si>
    <r>
      <t>Điện thoại</t>
    </r>
    <r>
      <rPr>
        <i/>
        <sz val="11"/>
        <color theme="1"/>
        <rFont val="Arial"/>
        <family val="2"/>
      </rPr>
      <t xml:space="preserve">: 028 37751727 </t>
    </r>
  </si>
  <si>
    <r>
      <t>Bên B:</t>
    </r>
    <r>
      <rPr>
        <i/>
        <sz val="11"/>
        <color theme="1"/>
        <rFont val="Arial"/>
        <family val="2"/>
      </rPr>
      <t xml:space="preserve"> CÔNG TY TNHH THƯƠNG MẠI DỊCH VỤ Ý ÂN</t>
    </r>
  </si>
  <si>
    <r>
      <t>Đại diện bởi Bà:</t>
    </r>
    <r>
      <rPr>
        <i/>
        <sz val="11"/>
        <color theme="1"/>
        <rFont val="Arial"/>
        <family val="2"/>
      </rPr>
      <t xml:space="preserve"> Trần Phạm Ngọc Trân</t>
    </r>
  </si>
  <si>
    <t>Mã số thuế :0319016318</t>
  </si>
  <si>
    <t>Hôm nay ngày       /07/2026, Chúng tôi cùng đồng ý ký kết biên bản quyết toán công trình giữa hai bên A và B với nội dung như sau:</t>
  </si>
  <si>
    <t>A-</t>
  </si>
  <si>
    <t>Tổng giá trị hợp đồng đã bao gồm VAT:</t>
  </si>
  <si>
    <t>B-</t>
  </si>
  <si>
    <t>Tổng giá trị quyết toán khối lượng đã bao gồm VAT:</t>
  </si>
  <si>
    <t>C-</t>
  </si>
  <si>
    <t>Số tiền bên A đã thanh toán cho bên B đợt 1:</t>
  </si>
  <si>
    <t>D-</t>
  </si>
  <si>
    <t>Giá trị hóa đơn GTGT bên B đã xuất và đã giao cho bên A (gồm VAT):</t>
  </si>
  <si>
    <t>E-</t>
  </si>
  <si>
    <t>Tổng số tiền bên A phải thanh toán tiếp cho bên B:</t>
  </si>
  <si>
    <t>Chúng tôi đã đọc và đồng ý với nội dung trong biên bản này.</t>
  </si>
  <si>
    <t>Biên bản này được lập thành 02 bản, mỗi bên giữ 01 bản và có giá trị pháp lý như nhau.</t>
  </si>
  <si>
    <t>Đại diện bên A</t>
  </si>
  <si>
    <t xml:space="preserve">              Đại diện bên B</t>
  </si>
  <si>
    <t>Bà: Trần Phạm Ngọc Trân - Phó Giám Đốc</t>
  </si>
  <si>
    <t>CỘNG HÒA XÃ HỘI CHỦ NGHĨA VIỆT NAM</t>
  </si>
  <si>
    <t>Độc lập – Tự do – Hạnh phúc</t>
  </si>
  <si>
    <t>---------------------</t>
  </si>
  <si>
    <t>GIẤY ĐỀ NGHỊ THANH TOÁN</t>
  </si>
  <si>
    <r>
      <rPr>
        <b/>
        <sz val="13"/>
        <rFont val="Times New Roman"/>
        <family val="1"/>
      </rPr>
      <t xml:space="preserve">Hạng mục: </t>
    </r>
    <r>
      <rPr>
        <sz val="13"/>
        <rFont val="Times New Roman"/>
        <family val="1"/>
      </rPr>
      <t>Tháo dỡ hoàn trả mặt bằng</t>
    </r>
  </si>
  <si>
    <t>Căn cứ vào biên bản nghiệm thu công trình giữa bên A và bên B</t>
  </si>
  <si>
    <t>Căn cứ vào biên bản quyết toán khối lượng</t>
  </si>
  <si>
    <t>Căn cứ vào biên bản quyết toán</t>
  </si>
  <si>
    <t>Qúy công ty chuyển khoản theo thông tin sau:</t>
  </si>
  <si>
    <t>Tên tài khoản: CÔNG TY TNHH THƯƠNG MẠI DỊCH VỤ Ý ÂN</t>
  </si>
  <si>
    <t>Rất mong sự hợp tác của Quý Công ty.</t>
  </si>
  <si>
    <t>Trân trọng cảm ơn !</t>
  </si>
  <si>
    <t>Đại diện bởi .</t>
  </si>
  <si>
    <t>Chức vụ: .</t>
  </si>
  <si>
    <t xml:space="preserve">Địa chỉ:  </t>
  </si>
  <si>
    <t>Mã số thuế: .</t>
  </si>
  <si>
    <t>tên công trình</t>
  </si>
  <si>
    <t xml:space="preserve">đặt tên: Năm/ Tháng/ Ngày-Tên </t>
  </si>
  <si>
    <t xml:space="preserve">Công việc: </t>
  </si>
  <si>
    <t>điền Tháo dỡ/ Thi công/ Vệ sinh</t>
  </si>
  <si>
    <t>Điền ngày báo giá</t>
  </si>
  <si>
    <t xml:space="preserve">Ngày:  </t>
  </si>
  <si>
    <t>HƯỚNG DẪN SỬ DỤNG</t>
  </si>
  <si>
    <t>Địa chỉ:</t>
  </si>
  <si>
    <t>Điền địa chỉ công trình</t>
  </si>
  <si>
    <t xml:space="preserve"> KHÔNG SỬA TRONG SHEET</t>
  </si>
  <si>
    <t>Chỉ điền thông tin ở đây,</t>
  </si>
  <si>
    <t>Xóa Hướng dẫn này trong file khi gửi khách</t>
  </si>
  <si>
    <r>
      <t>Mã số CT</t>
    </r>
    <r>
      <rPr>
        <b/>
        <i/>
        <u/>
        <sz val="11"/>
        <color indexed="30"/>
        <rFont val="Times New Roman"/>
        <family val="1"/>
      </rPr>
      <t xml:space="preserve">: </t>
    </r>
  </si>
  <si>
    <t xml:space="preserve">Kính gửi: </t>
  </si>
  <si>
    <t xml:space="preserve">Địa chỉ: </t>
  </si>
  <si>
    <r>
      <rPr>
        <b/>
        <sz val="13"/>
        <rFont val="Times New Roman"/>
        <family val="1"/>
      </rPr>
      <t>Công trình:</t>
    </r>
    <r>
      <rPr>
        <sz val="13"/>
        <rFont val="Times New Roman"/>
        <family val="1"/>
      </rPr>
      <t xml:space="preserve">  </t>
    </r>
  </si>
  <si>
    <t>Bên B đã hoàn tất tháo dỡ hoàn trả mặt bằng công trình ….................. của bên A</t>
  </si>
  <si>
    <t xml:space="preserve">Bên A: </t>
  </si>
  <si>
    <t>ABC</t>
  </si>
  <si>
    <r>
      <t>Công trình</t>
    </r>
    <r>
      <rPr>
        <b/>
        <i/>
        <u/>
        <sz val="11"/>
        <color indexed="30"/>
        <rFont val="Times New Roman"/>
        <family val="1"/>
      </rPr>
      <t>:  XYZ</t>
    </r>
  </si>
  <si>
    <t xml:space="preserve">Công ty TNHH THƯƠNG MẠI DỊCH VỤ Ý ÂN đề nghị Quý CÔNG TY …. thanh toán cho </t>
  </si>
  <si>
    <t>Chúng tôi số tiền còn lại là:….... VND (Bằng chữ: …...........đồng)</t>
  </si>
  <si>
    <t>TP.HCM, ngày….. tháng ….. năm 2026</t>
  </si>
  <si>
    <t xml:space="preserve">Số tài khoản: 795838658 </t>
  </si>
  <si>
    <t>Tại NH: Asia Commercial Bank (ACB)- Phòng giao dịch Nguyễn Tri Phương - 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</si>
</sst>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  <numFmt numFmtId="166" formatCode="_(* #,##0.00;[Red]_(* \-\ #,##0.00;_(* &quot;&quot;??_);_(@_)"/>
    <numFmt numFmtId="167" formatCode="_-* #,##0_-;\-* #,##0_-;_-* &quot;-&quot;??_-;_-@_-"/>
    <numFmt numFmtId="168" formatCode="_(* #,##0_);_(* \(#,##0\);_(* &quot;-&quot;_);_(@_)"/>
  </numFmts>
  <fonts count="60">
    <font>
      <sz val="10"/>
      <name val="CNUNIV"/>
    </font>
    <font>
      <sz val="11"/>
      <color theme="1"/>
      <name val="Calibri"/>
      <family val="2"/>
      <scheme val="minor"/>
    </font>
    <font>
      <sz val="10"/>
      <name val="CNUNIV"/>
    </font>
    <font>
      <sz val="10"/>
      <name val="Arial"/>
      <family val="2"/>
    </font>
    <font>
      <sz val="10"/>
      <name val="VNI-Helve"/>
    </font>
    <font>
      <sz val="10"/>
      <name val="Arial"/>
      <family val="2"/>
    </font>
    <font>
      <sz val="10"/>
      <name val="MS Sans Serif"/>
      <family val="2"/>
    </font>
    <font>
      <b/>
      <i/>
      <u/>
      <sz val="11"/>
      <color indexed="30"/>
      <name val="Times New Roman"/>
      <family val="1"/>
    </font>
    <font>
      <sz val="12"/>
      <name val="Times New Roman"/>
      <family val="1"/>
    </font>
    <font>
      <b/>
      <sz val="2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0"/>
      <color rgb="FF7030A0"/>
      <name val="Times New Roman"/>
      <family val="1"/>
    </font>
    <font>
      <b/>
      <sz val="11"/>
      <color rgb="FF0070C0"/>
      <name val="Times New Roman"/>
      <family val="1"/>
    </font>
    <font>
      <sz val="11"/>
      <color rgb="FF7030A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rial"/>
      <family val="2"/>
    </font>
    <font>
      <b/>
      <sz val="11"/>
      <color rgb="FF7030A0"/>
      <name val="Times New Roman"/>
      <family val="1"/>
    </font>
    <font>
      <sz val="13"/>
      <color theme="1"/>
      <name val="Times New Roman"/>
      <family val="1"/>
    </font>
    <font>
      <sz val="13"/>
      <color theme="1"/>
      <name val="Arial"/>
      <family val="2"/>
    </font>
    <font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8"/>
      <name val="CNUNIV"/>
    </font>
    <font>
      <sz val="11"/>
      <color theme="1"/>
      <name val="Calibri"/>
      <family val="2"/>
      <charset val="163"/>
      <scheme val="minor"/>
    </font>
    <font>
      <sz val="13"/>
      <color rgb="FF002060"/>
      <name val="Times New Roman"/>
      <family val="1"/>
    </font>
    <font>
      <sz val="13"/>
      <name val="Arial"/>
      <family val="2"/>
    </font>
    <font>
      <b/>
      <sz val="12"/>
      <name val="Times New Roman"/>
      <family val="1"/>
    </font>
    <font>
      <b/>
      <sz val="22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i/>
      <u/>
      <sz val="11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40"/>
      <name val="Arial"/>
      <family val="2"/>
    </font>
    <font>
      <i/>
      <sz val="11"/>
      <color theme="1"/>
      <name val="Arial"/>
      <family val="2"/>
      <charset val="163"/>
    </font>
    <font>
      <b/>
      <sz val="11"/>
      <color theme="1"/>
      <name val="Arial"/>
      <family val="2"/>
      <charset val="163"/>
    </font>
    <font>
      <b/>
      <sz val="11"/>
      <color indexed="40"/>
      <name val="Arial"/>
      <family val="2"/>
      <charset val="163"/>
    </font>
    <font>
      <sz val="11"/>
      <name val="Arial"/>
      <family val="2"/>
      <charset val="163"/>
    </font>
    <font>
      <sz val="10"/>
      <name val="CNUNIV"/>
      <charset val="163"/>
    </font>
    <font>
      <sz val="11"/>
      <color theme="1"/>
      <name val="Arial"/>
      <family val="2"/>
      <charset val="163"/>
    </font>
    <font>
      <i/>
      <sz val="11"/>
      <color theme="1"/>
      <name val="Arial"/>
      <family val="2"/>
    </font>
    <font>
      <b/>
      <sz val="11"/>
      <color rgb="FF212529"/>
      <name val="Times New Roman"/>
      <family val="1"/>
    </font>
    <font>
      <sz val="11"/>
      <color indexed="40"/>
      <name val="Arial"/>
      <family val="2"/>
      <charset val="163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indexed="8"/>
      <name val="Calibri"/>
      <family val="2"/>
    </font>
    <font>
      <sz val="12"/>
      <color rgb="FF00B0F0"/>
      <name val="Arial"/>
      <family val="2"/>
    </font>
    <font>
      <i/>
      <sz val="12"/>
      <name val="Arial"/>
      <family val="2"/>
    </font>
    <font>
      <sz val="10"/>
      <name val="Century Gothic"/>
      <family val="2"/>
    </font>
    <font>
      <b/>
      <sz val="16"/>
      <name val="Arial"/>
      <family val="2"/>
    </font>
    <font>
      <sz val="18"/>
      <name val="CNUNIV"/>
    </font>
    <font>
      <b/>
      <sz val="15"/>
      <name val="Times New Roman"/>
      <family val="1"/>
    </font>
    <font>
      <sz val="13"/>
      <name val="CNUNIV"/>
    </font>
    <font>
      <sz val="13"/>
      <color theme="1"/>
      <name val="Calibri"/>
      <family val="2"/>
      <scheme val="minor"/>
    </font>
    <font>
      <sz val="10"/>
      <color rgb="FFFF0000"/>
      <name val="CNUNIV"/>
    </font>
    <font>
      <sz val="12"/>
      <color rgb="FFFF0000"/>
      <name val="CNUNIV"/>
    </font>
    <font>
      <b/>
      <u/>
      <sz val="10"/>
      <name val="CNUNIV"/>
      <charset val="163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0" fontId="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2" fillId="0" borderId="0"/>
    <xf numFmtId="0" fontId="12" fillId="0" borderId="0"/>
    <xf numFmtId="0" fontId="13" fillId="0" borderId="0"/>
    <xf numFmtId="0" fontId="3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3" fillId="0" borderId="0"/>
    <xf numFmtId="0" fontId="48" fillId="0" borderId="0"/>
    <xf numFmtId="164" fontId="51" fillId="0" borderId="0" applyFont="0" applyFill="0" applyBorder="0" applyAlignment="0" applyProtection="0"/>
  </cellStyleXfs>
  <cellXfs count="297">
    <xf numFmtId="0" fontId="0" fillId="0" borderId="0" xfId="0"/>
    <xf numFmtId="0" fontId="14" fillId="0" borderId="0" xfId="0" applyFont="1" applyAlignment="1">
      <alignment vertical="top"/>
    </xf>
    <xf numFmtId="0" fontId="15" fillId="4" borderId="0" xfId="0" applyFont="1" applyFill="1"/>
    <xf numFmtId="164" fontId="16" fillId="0" borderId="0" xfId="2" applyFont="1" applyAlignment="1">
      <alignment vertical="center"/>
    </xf>
    <xf numFmtId="165" fontId="16" fillId="0" borderId="0" xfId="2" applyNumberFormat="1" applyFont="1" applyAlignment="1">
      <alignment vertical="center"/>
    </xf>
    <xf numFmtId="0" fontId="16" fillId="0" borderId="0" xfId="0" applyFont="1" applyAlignment="1">
      <alignment horizontal="center" vertical="top"/>
    </xf>
    <xf numFmtId="3" fontId="16" fillId="0" borderId="0" xfId="2" applyNumberFormat="1" applyFont="1" applyAlignment="1">
      <alignment vertical="center"/>
    </xf>
    <xf numFmtId="0" fontId="16" fillId="0" borderId="0" xfId="0" applyFont="1" applyAlignment="1">
      <alignment vertical="top"/>
    </xf>
    <xf numFmtId="0" fontId="1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7" fillId="0" borderId="0" xfId="0" applyFont="1" applyAlignment="1">
      <alignment vertical="top"/>
    </xf>
    <xf numFmtId="165" fontId="17" fillId="0" borderId="0" xfId="2" applyNumberFormat="1" applyFont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66" fontId="17" fillId="0" borderId="0" xfId="0" applyNumberFormat="1" applyFont="1" applyAlignment="1">
      <alignment horizontal="center" vertical="center"/>
    </xf>
    <xf numFmtId="0" fontId="11" fillId="0" borderId="0" xfId="0" applyFont="1"/>
    <xf numFmtId="0" fontId="19" fillId="5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top"/>
    </xf>
    <xf numFmtId="0" fontId="20" fillId="0" borderId="0" xfId="0" applyFont="1" applyAlignment="1">
      <alignment vertical="top"/>
    </xf>
    <xf numFmtId="3" fontId="11" fillId="0" borderId="0" xfId="0" applyNumberFormat="1" applyFont="1" applyAlignment="1">
      <alignment vertical="center"/>
    </xf>
    <xf numFmtId="165" fontId="11" fillId="0" borderId="0" xfId="2" applyNumberFormat="1" applyFont="1" applyAlignment="1">
      <alignment vertical="center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vertical="top"/>
    </xf>
    <xf numFmtId="3" fontId="11" fillId="0" borderId="0" xfId="0" applyNumberFormat="1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3" fontId="11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/>
    </xf>
    <xf numFmtId="166" fontId="11" fillId="0" borderId="0" xfId="15" applyNumberFormat="1" applyFont="1" applyAlignment="1">
      <alignment horizontal="center" vertical="center" wrapText="1"/>
    </xf>
    <xf numFmtId="166" fontId="10" fillId="0" borderId="0" xfId="15" applyNumberFormat="1" applyFont="1" applyAlignment="1">
      <alignment horizontal="right" vertical="center"/>
    </xf>
    <xf numFmtId="0" fontId="11" fillId="0" borderId="0" xfId="14" applyFont="1" applyAlignment="1">
      <alignment horizontal="center" vertical="center"/>
    </xf>
    <xf numFmtId="0" fontId="11" fillId="0" borderId="0" xfId="6" applyFont="1" applyAlignment="1">
      <alignment horizontal="center" vertical="center" wrapText="1"/>
    </xf>
    <xf numFmtId="0" fontId="11" fillId="0" borderId="0" xfId="6" applyFont="1" applyAlignment="1">
      <alignment horizontal="left" vertical="center" wrapText="1"/>
    </xf>
    <xf numFmtId="166" fontId="11" fillId="0" borderId="0" xfId="6" applyNumberFormat="1" applyFont="1" applyAlignment="1">
      <alignment horizontal="center" vertical="center" wrapText="1"/>
    </xf>
    <xf numFmtId="166" fontId="10" fillId="0" borderId="0" xfId="6" applyNumberFormat="1" applyFont="1" applyAlignment="1">
      <alignment horizontal="center" vertical="center" wrapText="1"/>
    </xf>
    <xf numFmtId="0" fontId="11" fillId="0" borderId="2" xfId="6" applyFont="1" applyBorder="1" applyAlignment="1">
      <alignment horizontal="right" vertical="center" wrapText="1"/>
    </xf>
    <xf numFmtId="0" fontId="11" fillId="0" borderId="3" xfId="6" applyFont="1" applyBorder="1" applyAlignment="1">
      <alignment horizontal="center" vertical="center" wrapText="1"/>
    </xf>
    <xf numFmtId="0" fontId="11" fillId="0" borderId="4" xfId="6" applyFont="1" applyBorder="1" applyAlignment="1">
      <alignment horizontal="left" vertical="center" wrapText="1"/>
    </xf>
    <xf numFmtId="0" fontId="10" fillId="0" borderId="4" xfId="6" applyFont="1" applyBorder="1" applyAlignment="1">
      <alignment horizontal="left" vertical="center" wrapText="1"/>
    </xf>
    <xf numFmtId="0" fontId="11" fillId="0" borderId="5" xfId="6" quotePrefix="1" applyFont="1" applyBorder="1" applyAlignment="1">
      <alignment horizontal="left" vertical="center" wrapText="1"/>
    </xf>
    <xf numFmtId="0" fontId="11" fillId="0" borderId="5" xfId="6" applyFont="1" applyBorder="1" applyAlignment="1">
      <alignment horizontal="left" vertical="center" wrapText="1"/>
    </xf>
    <xf numFmtId="0" fontId="11" fillId="0" borderId="5" xfId="6" applyFont="1" applyBorder="1" applyAlignment="1">
      <alignment horizontal="left" vertical="top" wrapText="1"/>
    </xf>
    <xf numFmtId="0" fontId="10" fillId="0" borderId="5" xfId="6" applyFont="1" applyBorder="1" applyAlignment="1">
      <alignment horizontal="left" vertical="center" wrapText="1"/>
    </xf>
    <xf numFmtId="0" fontId="11" fillId="0" borderId="6" xfId="6" applyFont="1" applyBorder="1" applyAlignment="1">
      <alignment vertical="center" wrapText="1"/>
    </xf>
    <xf numFmtId="0" fontId="11" fillId="0" borderId="0" xfId="6" applyFont="1" applyAlignment="1">
      <alignment vertical="center" wrapText="1"/>
    </xf>
    <xf numFmtId="49" fontId="11" fillId="0" borderId="0" xfId="5" applyNumberFormat="1" applyFont="1" applyAlignment="1">
      <alignment horizontal="left" vertical="center" wrapText="1"/>
    </xf>
    <xf numFmtId="49" fontId="11" fillId="0" borderId="0" xfId="5" applyNumberFormat="1" applyFont="1" applyAlignment="1">
      <alignment horizontal="center" vertical="center"/>
    </xf>
    <xf numFmtId="0" fontId="11" fillId="0" borderId="3" xfId="0" applyFont="1" applyBorder="1" applyAlignment="1">
      <alignment vertical="top"/>
    </xf>
    <xf numFmtId="164" fontId="11" fillId="0" borderId="0" xfId="2" applyFont="1" applyFill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5" fontId="11" fillId="0" borderId="0" xfId="2" applyNumberFormat="1" applyFont="1" applyFill="1" applyAlignment="1">
      <alignment horizontal="center" vertical="center"/>
    </xf>
    <xf numFmtId="0" fontId="10" fillId="0" borderId="0" xfId="0" applyFont="1" applyAlignment="1">
      <alignment vertical="top"/>
    </xf>
    <xf numFmtId="0" fontId="16" fillId="0" borderId="0" xfId="0" applyFont="1" applyAlignment="1">
      <alignment vertical="center" wrapText="1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wrapText="1"/>
    </xf>
    <xf numFmtId="0" fontId="23" fillId="5" borderId="0" xfId="0" applyFont="1" applyFill="1"/>
    <xf numFmtId="0" fontId="23" fillId="0" borderId="0" xfId="0" applyFont="1" applyAlignment="1">
      <alignment horizontal="center" vertical="center"/>
    </xf>
    <xf numFmtId="0" fontId="20" fillId="0" borderId="0" xfId="6" applyFont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165" fontId="20" fillId="0" borderId="0" xfId="2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top"/>
    </xf>
    <xf numFmtId="0" fontId="16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wrapText="1"/>
    </xf>
    <xf numFmtId="0" fontId="11" fillId="5" borderId="1" xfId="0" applyFont="1" applyFill="1" applyBorder="1" applyAlignment="1">
      <alignment horizontal="center" vertical="center" wrapText="1"/>
    </xf>
    <xf numFmtId="0" fontId="10" fillId="0" borderId="0" xfId="0" applyFont="1"/>
    <xf numFmtId="0" fontId="20" fillId="0" borderId="0" xfId="6" applyFont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166" fontId="10" fillId="3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165" fontId="20" fillId="5" borderId="0" xfId="2" applyNumberFormat="1" applyFont="1" applyFill="1" applyAlignment="1">
      <alignment horizontal="center" vertical="center"/>
    </xf>
    <xf numFmtId="165" fontId="20" fillId="0" borderId="0" xfId="2" applyNumberFormat="1" applyFont="1" applyFill="1" applyAlignment="1">
      <alignment vertical="center"/>
    </xf>
    <xf numFmtId="0" fontId="20" fillId="5" borderId="0" xfId="0" applyFont="1" applyFill="1" applyAlignment="1">
      <alignment vertical="center" wrapText="1"/>
    </xf>
    <xf numFmtId="0" fontId="20" fillId="5" borderId="0" xfId="0" applyFont="1" applyFill="1" applyAlignment="1">
      <alignment horizontal="center" vertical="center"/>
    </xf>
    <xf numFmtId="166" fontId="20" fillId="5" borderId="0" xfId="0" applyNumberFormat="1" applyFont="1" applyFill="1" applyAlignment="1">
      <alignment horizontal="center" vertical="center"/>
    </xf>
    <xf numFmtId="0" fontId="23" fillId="5" borderId="0" xfId="0" applyFont="1" applyFill="1" applyAlignment="1">
      <alignment vertical="center"/>
    </xf>
    <xf numFmtId="165" fontId="23" fillId="5" borderId="0" xfId="2" applyNumberFormat="1" applyFont="1" applyFill="1" applyAlignment="1">
      <alignment vertical="center"/>
    </xf>
    <xf numFmtId="0" fontId="20" fillId="0" borderId="0" xfId="0" applyFont="1" applyAlignment="1">
      <alignment horizontal="center" vertical="top"/>
    </xf>
    <xf numFmtId="164" fontId="20" fillId="0" borderId="0" xfId="0" applyNumberFormat="1" applyFont="1" applyAlignment="1">
      <alignment vertical="center"/>
    </xf>
    <xf numFmtId="0" fontId="20" fillId="0" borderId="0" xfId="0" applyFont="1" applyAlignment="1">
      <alignment horizontal="left" vertical="center" wrapText="1"/>
    </xf>
    <xf numFmtId="165" fontId="20" fillId="0" borderId="0" xfId="2" applyNumberFormat="1" applyFont="1" applyAlignment="1">
      <alignment vertical="center"/>
    </xf>
    <xf numFmtId="0" fontId="20" fillId="0" borderId="0" xfId="0" applyFont="1" applyAlignment="1">
      <alignment horizontal="left" vertical="center"/>
    </xf>
    <xf numFmtId="165" fontId="20" fillId="0" borderId="0" xfId="2" applyNumberFormat="1" applyFont="1" applyAlignment="1">
      <alignment horizontal="left" vertical="center"/>
    </xf>
    <xf numFmtId="165" fontId="20" fillId="0" borderId="0" xfId="2" applyNumberFormat="1" applyFont="1" applyAlignment="1">
      <alignment vertical="top"/>
    </xf>
    <xf numFmtId="0" fontId="20" fillId="0" borderId="0" xfId="0" applyFont="1"/>
    <xf numFmtId="165" fontId="20" fillId="0" borderId="0" xfId="2" applyNumberFormat="1" applyFont="1"/>
    <xf numFmtId="165" fontId="20" fillId="0" borderId="0" xfId="2" applyNumberFormat="1" applyFont="1" applyFill="1" applyAlignment="1">
      <alignment vertical="top"/>
    </xf>
    <xf numFmtId="0" fontId="20" fillId="5" borderId="0" xfId="0" applyFont="1" applyFill="1"/>
    <xf numFmtId="166" fontId="20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top" wrapText="1"/>
    </xf>
    <xf numFmtId="0" fontId="20" fillId="0" borderId="0" xfId="0" applyFont="1" applyAlignment="1">
      <alignment horizontal="center" vertical="center" wrapText="1"/>
    </xf>
    <xf numFmtId="166" fontId="20" fillId="0" borderId="0" xfId="0" applyNumberFormat="1" applyFont="1" applyAlignment="1">
      <alignment horizontal="center" vertical="center" wrapText="1"/>
    </xf>
    <xf numFmtId="165" fontId="20" fillId="0" borderId="0" xfId="2" applyNumberFormat="1" applyFont="1" applyAlignment="1">
      <alignment horizontal="center" vertical="center" wrapText="1"/>
    </xf>
    <xf numFmtId="164" fontId="10" fillId="3" borderId="1" xfId="2" applyFont="1" applyFill="1" applyBorder="1" applyAlignment="1">
      <alignment horizontal="center" vertical="center" wrapText="1"/>
    </xf>
    <xf numFmtId="3" fontId="22" fillId="5" borderId="1" xfId="2" applyNumberFormat="1" applyFont="1" applyFill="1" applyBorder="1" applyAlignment="1">
      <alignment vertical="center" wrapText="1"/>
    </xf>
    <xf numFmtId="165" fontId="20" fillId="6" borderId="1" xfId="2" applyNumberFormat="1" applyFont="1" applyFill="1" applyBorder="1" applyAlignment="1">
      <alignment horizontal="center" vertical="center" wrapText="1"/>
    </xf>
    <xf numFmtId="165" fontId="10" fillId="0" borderId="1" xfId="2" applyNumberFormat="1" applyFont="1" applyFill="1" applyBorder="1" applyAlignment="1">
      <alignment vertical="center"/>
    </xf>
    <xf numFmtId="165" fontId="10" fillId="0" borderId="8" xfId="2" applyNumberFormat="1" applyFont="1" applyFill="1" applyBorder="1" applyAlignment="1">
      <alignment vertical="center"/>
    </xf>
    <xf numFmtId="166" fontId="20" fillId="0" borderId="0" xfId="15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6" fillId="0" borderId="0" xfId="6" applyFont="1" applyAlignment="1">
      <alignment vertical="center" wrapText="1"/>
    </xf>
    <xf numFmtId="166" fontId="20" fillId="0" borderId="0" xfId="15" applyNumberFormat="1" applyFont="1" applyAlignment="1">
      <alignment horizontal="right" vertical="center"/>
    </xf>
    <xf numFmtId="165" fontId="20" fillId="0" borderId="0" xfId="2" applyNumberFormat="1" applyFont="1" applyFill="1" applyBorder="1" applyAlignment="1">
      <alignment horizontal="right" vertical="center"/>
    </xf>
    <xf numFmtId="165" fontId="20" fillId="0" borderId="0" xfId="2" applyNumberFormat="1" applyFont="1" applyFill="1" applyBorder="1" applyAlignment="1">
      <alignment horizontal="center" vertical="center"/>
    </xf>
    <xf numFmtId="165" fontId="10" fillId="0" borderId="0" xfId="2" applyNumberFormat="1" applyFont="1" applyFill="1" applyAlignment="1">
      <alignment horizontal="center" vertical="center"/>
    </xf>
    <xf numFmtId="165" fontId="11" fillId="0" borderId="0" xfId="2" applyNumberFormat="1" applyFont="1" applyFill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/>
    <xf numFmtId="9" fontId="10" fillId="2" borderId="7" xfId="16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3" fontId="22" fillId="5" borderId="1" xfId="2" applyNumberFormat="1" applyFont="1" applyFill="1" applyBorder="1" applyAlignment="1">
      <alignment horizontal="left" vertical="center" wrapText="1"/>
    </xf>
    <xf numFmtId="165" fontId="20" fillId="6" borderId="1" xfId="2" applyNumberFormat="1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/>
    </xf>
    <xf numFmtId="0" fontId="20" fillId="0" borderId="0" xfId="6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1" fillId="0" borderId="0" xfId="6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166" fontId="10" fillId="3" borderId="9" xfId="0" applyNumberFormat="1" applyFont="1" applyFill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165" fontId="20" fillId="5" borderId="0" xfId="2" applyNumberFormat="1" applyFont="1" applyFill="1" applyBorder="1"/>
    <xf numFmtId="3" fontId="20" fillId="0" borderId="0" xfId="0" applyNumberFormat="1" applyFont="1" applyAlignment="1">
      <alignment horizontal="center" vertical="center" wrapText="1"/>
    </xf>
    <xf numFmtId="165" fontId="20" fillId="0" borderId="0" xfId="2" applyNumberFormat="1" applyFont="1" applyAlignment="1">
      <alignment horizontal="right" vertical="center"/>
    </xf>
    <xf numFmtId="0" fontId="20" fillId="0" borderId="0" xfId="0" applyFont="1" applyAlignment="1">
      <alignment horizontal="center" vertical="top" wrapText="1"/>
    </xf>
    <xf numFmtId="164" fontId="20" fillId="0" borderId="0" xfId="2" applyFont="1" applyAlignment="1">
      <alignment vertical="center" wrapText="1"/>
    </xf>
    <xf numFmtId="3" fontId="20" fillId="0" borderId="0" xfId="0" applyNumberFormat="1" applyFont="1" applyAlignment="1">
      <alignment vertical="center" wrapText="1"/>
    </xf>
    <xf numFmtId="165" fontId="20" fillId="0" borderId="0" xfId="2" applyNumberFormat="1" applyFont="1" applyAlignment="1">
      <alignment horizontal="right" vertical="center" wrapText="1"/>
    </xf>
    <xf numFmtId="0" fontId="23" fillId="5" borderId="0" xfId="0" applyFont="1" applyFill="1" applyAlignment="1">
      <alignment horizontal="right" vertical="center"/>
    </xf>
    <xf numFmtId="49" fontId="20" fillId="0" borderId="0" xfId="0" applyNumberFormat="1" applyFont="1" applyAlignment="1">
      <alignment horizontal="center" vertical="center"/>
    </xf>
    <xf numFmtId="164" fontId="20" fillId="0" borderId="0" xfId="2" applyFont="1" applyAlignment="1">
      <alignment vertical="center"/>
    </xf>
    <xf numFmtId="3" fontId="20" fillId="0" borderId="0" xfId="0" applyNumberFormat="1" applyFont="1" applyAlignment="1">
      <alignment vertical="top"/>
    </xf>
    <xf numFmtId="165" fontId="20" fillId="0" borderId="0" xfId="0" applyNumberFormat="1" applyFont="1" applyAlignment="1">
      <alignment horizontal="right" vertical="top"/>
    </xf>
    <xf numFmtId="3" fontId="20" fillId="0" borderId="0" xfId="0" applyNumberFormat="1" applyFont="1" applyAlignment="1">
      <alignment horizontal="left" vertical="center"/>
    </xf>
    <xf numFmtId="165" fontId="20" fillId="0" borderId="0" xfId="0" applyNumberFormat="1" applyFont="1" applyAlignment="1">
      <alignment horizontal="right" vertical="center"/>
    </xf>
    <xf numFmtId="49" fontId="20" fillId="5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20" fillId="5" borderId="0" xfId="0" applyFont="1" applyFill="1" applyAlignment="1">
      <alignment vertical="top"/>
    </xf>
    <xf numFmtId="0" fontId="20" fillId="0" borderId="0" xfId="0" applyFont="1" applyAlignment="1">
      <alignment horizontal="right" vertical="top"/>
    </xf>
    <xf numFmtId="0" fontId="20" fillId="0" borderId="0" xfId="0" applyFont="1" applyAlignment="1">
      <alignment horizontal="right" vertical="center"/>
    </xf>
    <xf numFmtId="3" fontId="20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top" wrapText="1"/>
    </xf>
    <xf numFmtId="2" fontId="20" fillId="0" borderId="0" xfId="2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top" wrapText="1"/>
    </xf>
    <xf numFmtId="2" fontId="20" fillId="0" borderId="0" xfId="0" applyNumberFormat="1" applyFont="1" applyAlignment="1">
      <alignment horizontal="center" vertical="top"/>
    </xf>
    <xf numFmtId="165" fontId="20" fillId="0" borderId="0" xfId="2" applyNumberFormat="1" applyFont="1" applyBorder="1" applyAlignment="1">
      <alignment horizontal="right" vertical="top"/>
    </xf>
    <xf numFmtId="0" fontId="23" fillId="0" borderId="1" xfId="0" applyFont="1" applyBorder="1" applyAlignment="1">
      <alignment horizontal="center" vertical="center"/>
    </xf>
    <xf numFmtId="49" fontId="23" fillId="0" borderId="1" xfId="4" applyNumberFormat="1" applyFont="1" applyBorder="1" applyAlignment="1">
      <alignment horizontal="center" vertical="center" wrapText="1"/>
    </xf>
    <xf numFmtId="49" fontId="23" fillId="0" borderId="1" xfId="4" applyNumberFormat="1" applyFont="1" applyBorder="1" applyAlignment="1">
      <alignment horizontal="center" vertical="center"/>
    </xf>
    <xf numFmtId="2" fontId="23" fillId="0" borderId="1" xfId="2" applyNumberFormat="1" applyFont="1" applyFill="1" applyBorder="1" applyAlignment="1">
      <alignment horizontal="center" vertical="center" wrapText="1"/>
    </xf>
    <xf numFmtId="165" fontId="23" fillId="0" borderId="1" xfId="2" applyNumberFormat="1" applyFont="1" applyFill="1" applyBorder="1" applyAlignment="1">
      <alignment horizontal="center" vertical="center" wrapText="1"/>
    </xf>
    <xf numFmtId="3" fontId="23" fillId="0" borderId="1" xfId="2" applyNumberFormat="1" applyFont="1" applyBorder="1" applyAlignment="1">
      <alignment horizontal="center" vertical="center"/>
    </xf>
    <xf numFmtId="0" fontId="20" fillId="0" borderId="1" xfId="10" applyFont="1" applyBorder="1" applyAlignment="1">
      <alignment horizontal="center" vertical="center" wrapText="1"/>
    </xf>
    <xf numFmtId="0" fontId="20" fillId="0" borderId="1" xfId="10" applyFont="1" applyBorder="1" applyAlignment="1">
      <alignment vertical="center" wrapText="1"/>
    </xf>
    <xf numFmtId="2" fontId="20" fillId="0" borderId="1" xfId="20" applyNumberFormat="1" applyFont="1" applyFill="1" applyBorder="1" applyAlignment="1">
      <alignment horizontal="center" vertical="center" wrapText="1"/>
    </xf>
    <xf numFmtId="167" fontId="20" fillId="0" borderId="1" xfId="2" applyNumberFormat="1" applyFont="1" applyFill="1" applyBorder="1" applyAlignment="1">
      <alignment horizontal="right" vertical="center"/>
    </xf>
    <xf numFmtId="165" fontId="20" fillId="5" borderId="1" xfId="2" applyNumberFormat="1" applyFont="1" applyFill="1" applyBorder="1" applyAlignment="1">
      <alignment horizontal="right" vertical="center" wrapText="1"/>
    </xf>
    <xf numFmtId="0" fontId="20" fillId="0" borderId="1" xfId="0" applyFont="1" applyBorder="1" applyAlignment="1">
      <alignment vertical="center" wrapText="1"/>
    </xf>
    <xf numFmtId="0" fontId="23" fillId="0" borderId="1" xfId="10" applyFont="1" applyBorder="1" applyAlignment="1">
      <alignment horizontal="center" vertical="center" wrapText="1"/>
    </xf>
    <xf numFmtId="0" fontId="23" fillId="0" borderId="1" xfId="10" applyFont="1" applyBorder="1" applyAlignment="1">
      <alignment vertical="center" wrapText="1"/>
    </xf>
    <xf numFmtId="2" fontId="23" fillId="0" borderId="1" xfId="20" applyNumberFormat="1" applyFont="1" applyFill="1" applyBorder="1" applyAlignment="1">
      <alignment horizontal="center" vertical="center" wrapText="1"/>
    </xf>
    <xf numFmtId="167" fontId="23" fillId="0" borderId="1" xfId="2" applyNumberFormat="1" applyFont="1" applyFill="1" applyBorder="1" applyAlignment="1">
      <alignment horizontal="right" vertical="center"/>
    </xf>
    <xf numFmtId="165" fontId="23" fillId="5" borderId="1" xfId="2" applyNumberFormat="1" applyFont="1" applyFill="1" applyBorder="1" applyAlignment="1">
      <alignment horizontal="right" vertical="center" wrapText="1"/>
    </xf>
    <xf numFmtId="0" fontId="23" fillId="0" borderId="1" xfId="0" applyFont="1" applyBorder="1" applyAlignment="1">
      <alignment vertical="center" wrapText="1"/>
    </xf>
    <xf numFmtId="0" fontId="23" fillId="0" borderId="0" xfId="0" applyFont="1" applyAlignment="1">
      <alignment vertical="top"/>
    </xf>
    <xf numFmtId="3" fontId="20" fillId="0" borderId="1" xfId="2" applyNumberFormat="1" applyFont="1" applyBorder="1" applyAlignment="1">
      <alignment vertical="center" wrapText="1"/>
    </xf>
    <xf numFmtId="0" fontId="20" fillId="0" borderId="0" xfId="6" applyFont="1" applyAlignment="1">
      <alignment vertical="center" wrapText="1"/>
    </xf>
    <xf numFmtId="2" fontId="20" fillId="0" borderId="0" xfId="2" applyNumberFormat="1" applyFont="1" applyFill="1" applyBorder="1" applyAlignment="1">
      <alignment horizontal="center" vertical="center" wrapText="1"/>
    </xf>
    <xf numFmtId="165" fontId="20" fillId="0" borderId="0" xfId="2" applyNumberFormat="1" applyFont="1" applyAlignment="1">
      <alignment vertical="center" wrapText="1"/>
    </xf>
    <xf numFmtId="0" fontId="20" fillId="0" borderId="0" xfId="6" applyFont="1" applyAlignment="1">
      <alignment horizontal="left" vertical="center"/>
    </xf>
    <xf numFmtId="165" fontId="20" fillId="0" borderId="0" xfId="2" applyNumberFormat="1" applyFont="1" applyAlignment="1">
      <alignment horizontal="left" vertical="center" wrapText="1"/>
    </xf>
    <xf numFmtId="0" fontId="23" fillId="0" borderId="0" xfId="6" applyFont="1" applyAlignment="1">
      <alignment horizontal="center" vertical="center" wrapText="1"/>
    </xf>
    <xf numFmtId="2" fontId="20" fillId="0" borderId="0" xfId="2" applyNumberFormat="1" applyFont="1" applyFill="1" applyAlignment="1">
      <alignment horizontal="center" vertical="center"/>
    </xf>
    <xf numFmtId="3" fontId="20" fillId="0" borderId="0" xfId="2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top"/>
    </xf>
    <xf numFmtId="164" fontId="17" fillId="0" borderId="0" xfId="2" applyFont="1" applyFill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65" fontId="17" fillId="0" borderId="0" xfId="2" applyNumberFormat="1" applyFont="1" applyFill="1" applyAlignment="1">
      <alignment horizontal="right" vertical="center"/>
    </xf>
    <xf numFmtId="164" fontId="17" fillId="0" borderId="0" xfId="2" applyFont="1" applyAlignment="1">
      <alignment horizontal="center" vertical="center"/>
    </xf>
    <xf numFmtId="165" fontId="17" fillId="0" borderId="0" xfId="2" applyNumberFormat="1" applyFont="1" applyAlignment="1">
      <alignment horizontal="right" vertical="center"/>
    </xf>
    <xf numFmtId="9" fontId="20" fillId="0" borderId="1" xfId="0" applyNumberFormat="1" applyFont="1" applyBorder="1" applyAlignment="1">
      <alignment vertical="center" wrapText="1"/>
    </xf>
    <xf numFmtId="49" fontId="23" fillId="0" borderId="1" xfId="4" applyNumberFormat="1" applyFont="1" applyBorder="1" applyAlignment="1">
      <alignment horizontal="left" vertical="center" wrapText="1"/>
    </xf>
    <xf numFmtId="165" fontId="10" fillId="0" borderId="1" xfId="2" applyNumberFormat="1" applyFont="1" applyFill="1" applyBorder="1" applyAlignment="1"/>
    <xf numFmtId="165" fontId="23" fillId="5" borderId="1" xfId="2" applyNumberFormat="1" applyFont="1" applyFill="1" applyBorder="1" applyAlignment="1">
      <alignment wrapText="1"/>
    </xf>
    <xf numFmtId="0" fontId="30" fillId="0" borderId="0" xfId="21" applyFont="1" applyAlignment="1">
      <alignment vertical="center"/>
    </xf>
    <xf numFmtId="0" fontId="31" fillId="0" borderId="0" xfId="0" applyFont="1" applyAlignment="1">
      <alignment horizontal="center"/>
    </xf>
    <xf numFmtId="0" fontId="32" fillId="0" borderId="0" xfId="0" applyFont="1"/>
    <xf numFmtId="0" fontId="34" fillId="0" borderId="0" xfId="21" applyFont="1" applyAlignment="1">
      <alignment vertical="center"/>
    </xf>
    <xf numFmtId="0" fontId="35" fillId="0" borderId="0" xfId="21" applyFont="1" applyAlignment="1">
      <alignment vertical="center"/>
    </xf>
    <xf numFmtId="0" fontId="36" fillId="0" borderId="0" xfId="21" applyFont="1" applyAlignment="1">
      <alignment horizontal="center" vertical="center"/>
    </xf>
    <xf numFmtId="0" fontId="37" fillId="0" borderId="0" xfId="0" applyFont="1"/>
    <xf numFmtId="0" fontId="38" fillId="0" borderId="0" xfId="21" applyFont="1" applyAlignment="1">
      <alignment horizontal="center" vertical="center"/>
    </xf>
    <xf numFmtId="0" fontId="39" fillId="0" borderId="0" xfId="21" applyFont="1" applyAlignment="1">
      <alignment horizontal="center" vertical="center"/>
    </xf>
    <xf numFmtId="0" fontId="40" fillId="0" borderId="0" xfId="21" applyFont="1" applyAlignment="1">
      <alignment vertical="center"/>
    </xf>
    <xf numFmtId="0" fontId="41" fillId="0" borderId="0" xfId="0" applyFont="1"/>
    <xf numFmtId="0" fontId="38" fillId="0" borderId="0" xfId="21" applyFont="1" applyAlignment="1">
      <alignment horizontal="center"/>
    </xf>
    <xf numFmtId="0" fontId="40" fillId="0" borderId="0" xfId="21" applyFont="1"/>
    <xf numFmtId="0" fontId="42" fillId="0" borderId="0" xfId="21" applyFont="1" applyAlignment="1">
      <alignment horizontal="center" vertical="center"/>
    </xf>
    <xf numFmtId="0" fontId="28" fillId="0" borderId="0" xfId="0" applyFont="1" applyAlignment="1">
      <alignment vertical="center"/>
    </xf>
    <xf numFmtId="0" fontId="44" fillId="0" borderId="0" xfId="0" applyFont="1"/>
    <xf numFmtId="0" fontId="8" fillId="0" borderId="0" xfId="0" applyFont="1" applyAlignment="1">
      <alignment horizontal="left" vertical="center" wrapText="1"/>
    </xf>
    <xf numFmtId="0" fontId="45" fillId="0" borderId="0" xfId="21" applyFont="1" applyAlignment="1">
      <alignment horizontal="center" vertical="center"/>
    </xf>
    <xf numFmtId="0" fontId="18" fillId="0" borderId="0" xfId="0" applyFont="1"/>
    <xf numFmtId="0" fontId="18" fillId="0" borderId="0" xfId="21" applyFont="1" applyAlignment="1">
      <alignment vertical="center"/>
    </xf>
    <xf numFmtId="0" fontId="46" fillId="0" borderId="0" xfId="21" applyFont="1" applyAlignment="1">
      <alignment vertical="center"/>
    </xf>
    <xf numFmtId="0" fontId="35" fillId="0" borderId="0" xfId="0" applyFont="1" applyAlignment="1">
      <alignment vertical="center"/>
    </xf>
    <xf numFmtId="0" fontId="31" fillId="0" borderId="0" xfId="21" applyFont="1" applyAlignment="1">
      <alignment vertical="center"/>
    </xf>
    <xf numFmtId="0" fontId="47" fillId="0" borderId="0" xfId="21" applyFont="1" applyAlignment="1">
      <alignment vertical="center" wrapText="1"/>
    </xf>
    <xf numFmtId="0" fontId="30" fillId="0" borderId="0" xfId="21" applyFont="1" applyAlignment="1">
      <alignment horizontal="left" vertical="center" wrapText="1"/>
    </xf>
    <xf numFmtId="0" fontId="30" fillId="0" borderId="0" xfId="21" applyFont="1" applyAlignment="1">
      <alignment horizontal="center" vertical="center"/>
    </xf>
    <xf numFmtId="0" fontId="30" fillId="0" borderId="0" xfId="21" applyFont="1" applyAlignment="1">
      <alignment horizontal="right" vertical="center" wrapText="1"/>
    </xf>
    <xf numFmtId="0" fontId="30" fillId="0" borderId="0" xfId="21" applyFont="1" applyAlignment="1">
      <alignment horizontal="left" vertical="center"/>
    </xf>
    <xf numFmtId="41" fontId="30" fillId="0" borderId="0" xfId="21" applyNumberFormat="1" applyFont="1" applyAlignment="1">
      <alignment vertical="center"/>
    </xf>
    <xf numFmtId="168" fontId="30" fillId="0" borderId="0" xfId="22" applyNumberFormat="1" applyFont="1" applyAlignment="1">
      <alignment wrapText="1"/>
    </xf>
    <xf numFmtId="41" fontId="30" fillId="0" borderId="0" xfId="21" applyNumberFormat="1" applyFont="1" applyAlignment="1">
      <alignment wrapText="1"/>
    </xf>
    <xf numFmtId="15" fontId="30" fillId="0" borderId="0" xfId="0" applyNumberFormat="1" applyFont="1" applyAlignment="1">
      <alignment horizontal="right" vertical="center"/>
    </xf>
    <xf numFmtId="168" fontId="30" fillId="0" borderId="0" xfId="0" applyNumberFormat="1" applyFont="1" applyAlignment="1">
      <alignment wrapText="1"/>
    </xf>
    <xf numFmtId="168" fontId="31" fillId="0" borderId="0" xfId="0" applyNumberFormat="1" applyFont="1" applyAlignment="1">
      <alignment wrapText="1"/>
    </xf>
    <xf numFmtId="0" fontId="49" fillId="0" borderId="0" xfId="21" applyFont="1" applyAlignment="1">
      <alignment vertical="center"/>
    </xf>
    <xf numFmtId="0" fontId="50" fillId="0" borderId="0" xfId="21" applyFont="1" applyAlignment="1">
      <alignment horizontal="left" vertical="center"/>
    </xf>
    <xf numFmtId="49" fontId="30" fillId="0" borderId="0" xfId="21" applyNumberFormat="1" applyFont="1" applyAlignment="1">
      <alignment horizontal="right" vertical="center"/>
    </xf>
    <xf numFmtId="41" fontId="30" fillId="0" borderId="0" xfId="23" applyNumberFormat="1" applyFont="1" applyBorder="1" applyAlignment="1">
      <alignment vertical="center"/>
    </xf>
    <xf numFmtId="41" fontId="52" fillId="0" borderId="0" xfId="21" applyNumberFormat="1" applyFont="1" applyAlignment="1">
      <alignment vertical="center"/>
    </xf>
    <xf numFmtId="0" fontId="30" fillId="0" borderId="0" xfId="21" quotePrefix="1" applyFont="1" applyAlignment="1">
      <alignment horizontal="left" vertical="center"/>
    </xf>
    <xf numFmtId="0" fontId="30" fillId="0" borderId="0" xfId="21" applyFont="1" applyAlignment="1">
      <alignment horizontal="right" vertical="center"/>
    </xf>
    <xf numFmtId="165" fontId="30" fillId="0" borderId="0" xfId="23" applyNumberFormat="1" applyFont="1" applyBorder="1" applyAlignment="1">
      <alignment vertical="center"/>
    </xf>
    <xf numFmtId="0" fontId="53" fillId="0" borderId="0" xfId="0" applyFont="1"/>
    <xf numFmtId="0" fontId="5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55" fillId="0" borderId="0" xfId="0" applyFont="1"/>
    <xf numFmtId="0" fontId="56" fillId="0" borderId="0" xfId="0" applyFont="1"/>
    <xf numFmtId="0" fontId="11" fillId="0" borderId="0" xfId="0" applyFont="1" applyAlignment="1">
      <alignment horizontal="center"/>
    </xf>
    <xf numFmtId="0" fontId="11" fillId="0" borderId="0" xfId="21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20" fillId="0" borderId="0" xfId="6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top"/>
    </xf>
    <xf numFmtId="3" fontId="23" fillId="0" borderId="1" xfId="15" applyNumberFormat="1" applyFont="1" applyBorder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1" fillId="0" borderId="0" xfId="6" applyFont="1" applyAlignment="1">
      <alignment horizontal="left" vertical="center" wrapText="1"/>
    </xf>
    <xf numFmtId="0" fontId="11" fillId="0" borderId="6" xfId="6" applyFont="1" applyBorder="1" applyAlignment="1">
      <alignment horizontal="left" vertical="center" wrapText="1"/>
    </xf>
    <xf numFmtId="0" fontId="9" fillId="0" borderId="0" xfId="0" applyFont="1" applyAlignment="1">
      <alignment horizontal="center" wrapText="1"/>
    </xf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165" fontId="10" fillId="0" borderId="0" xfId="2" applyNumberFormat="1" applyFont="1" applyFill="1" applyAlignment="1">
      <alignment horizontal="center" vertical="center"/>
    </xf>
    <xf numFmtId="165" fontId="11" fillId="0" borderId="0" xfId="2" applyNumberFormat="1" applyFont="1" applyFill="1" applyAlignment="1">
      <alignment horizontal="center" vertical="center"/>
    </xf>
    <xf numFmtId="164" fontId="20" fillId="0" borderId="0" xfId="2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47" fillId="0" borderId="0" xfId="21" applyFont="1" applyAlignment="1">
      <alignment horizontal="left" vertical="center" wrapText="1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21" applyFont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15" fillId="5" borderId="0" xfId="0" applyFont="1" applyFill="1" applyAlignment="1">
      <alignment vertical="center"/>
    </xf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58" fillId="0" borderId="0" xfId="0" applyFont="1" applyBorder="1"/>
    <xf numFmtId="0" fontId="57" fillId="0" borderId="0" xfId="0" applyFont="1" applyBorder="1"/>
    <xf numFmtId="0" fontId="0" fillId="0" borderId="15" xfId="0" applyBorder="1"/>
    <xf numFmtId="0" fontId="15" fillId="5" borderId="16" xfId="0" applyFont="1" applyFill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7" borderId="10" xfId="0" applyFill="1" applyBorder="1"/>
    <xf numFmtId="0" fontId="0" fillId="7" borderId="11" xfId="0" applyFill="1" applyBorder="1"/>
    <xf numFmtId="0" fontId="59" fillId="7" borderId="11" xfId="0" applyFont="1" applyFill="1" applyBorder="1"/>
    <xf numFmtId="0" fontId="0" fillId="7" borderId="12" xfId="0" applyFill="1" applyBorder="1"/>
    <xf numFmtId="0" fontId="2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</cellXfs>
  <cellStyles count="24">
    <cellStyle name="0,0_x000a__x000a_NA_x000a__x000a_" xfId="1" xr:uid="{00000000-0005-0000-0000-000000000000}"/>
    <cellStyle name="Bình thường 4 2" xfId="18" xr:uid="{00000000-0005-0000-0000-000001000000}"/>
    <cellStyle name="Comma" xfId="2" builtinId="3"/>
    <cellStyle name="Comma 11 3 3" xfId="20" xr:uid="{00000000-0005-0000-0000-000003000000}"/>
    <cellStyle name="Comma 2" xfId="3" xr:uid="{00000000-0005-0000-0000-000004000000}"/>
    <cellStyle name="Comma_NAS Natexis Bank Q-RV2 Claim N1" xfId="23" xr:uid="{DBDDA15A-2C7A-4895-BE5A-B37E16011ACA}"/>
    <cellStyle name="Dấu phẩy 3 2 3" xfId="19" xr:uid="{00000000-0005-0000-0000-000006000000}"/>
    <cellStyle name="Ledger 17 x 11 in" xfId="4" xr:uid="{00000000-0005-0000-0000-000007000000}"/>
    <cellStyle name="Ledger 17 x 11 in 6" xfId="5" xr:uid="{00000000-0005-0000-0000-000008000000}"/>
    <cellStyle name="Ledger 17 x 11 in_BOM Marvela" xfId="6" xr:uid="{00000000-0005-0000-0000-000009000000}"/>
    <cellStyle name="Normal" xfId="0" builtinId="0"/>
    <cellStyle name="Normal 100" xfId="7" xr:uid="{00000000-0005-0000-0000-00000B000000}"/>
    <cellStyle name="Normal 104" xfId="8" xr:uid="{00000000-0005-0000-0000-00000C000000}"/>
    <cellStyle name="Normal 14" xfId="9" xr:uid="{00000000-0005-0000-0000-00000D000000}"/>
    <cellStyle name="Normal 18" xfId="10" xr:uid="{00000000-0005-0000-0000-00000E000000}"/>
    <cellStyle name="Normal 19" xfId="11" xr:uid="{00000000-0005-0000-0000-00000F000000}"/>
    <cellStyle name="Normal 2 2" xfId="12" xr:uid="{00000000-0005-0000-0000-000010000000}"/>
    <cellStyle name="Normal 6 2" xfId="13" xr:uid="{00000000-0005-0000-0000-000011000000}"/>
    <cellStyle name="Normal 7" xfId="14" xr:uid="{00000000-0005-0000-0000-000012000000}"/>
    <cellStyle name="Normal_1081- PROGRESS CLAIM No1" xfId="21" xr:uid="{8FE2BDC7-CBAA-4C88-BFED-5A7C72942A11}"/>
    <cellStyle name="Normal_Claim Bien Dong" xfId="22" xr:uid="{EBF2CBB2-4E75-4779-B6FB-64AF77CC6609}"/>
    <cellStyle name="Normal_VIETCGZZ 2" xfId="15" xr:uid="{00000000-0005-0000-0000-000015000000}"/>
    <cellStyle name="Percent 2" xfId="16" xr:uid="{00000000-0005-0000-0000-000016000000}"/>
    <cellStyle name="Style 1" xfId="17" xr:uid="{00000000-0005-0000-0000-00001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0CAB20-0551-49E3-A99F-B13F4023DCF2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761FCB-4683-4E2C-9057-37F6FAA79C33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241F730-4F53-44F4-A35D-0D6E67FF4300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184D21D-7209-4892-977C-F1BB3F7471F6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04B12D7-A343-497A-9297-5DF987D9A7C5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97CBAA-4644-40BE-A8B5-95D0A22393A9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11614B7-E13D-4ACA-A6AD-43E9607BBB15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1054C49-37B3-4E90-B251-20817EB3433E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9A641F5-0A79-4A2D-9352-10E4555C48A9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F5C7D04-0C6D-41D0-A918-66F7239B9463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1F8C919-4A08-4592-9D72-C9D9D4DC7B3D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DAC39A1-C889-4250-94D8-D8E3BB34330B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8657D5B-C144-4A8B-8BD1-01FD2601758F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2D5D539-6256-422B-929D-FD76694431B6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405D3E8-6405-4B5D-A388-C5F54FC09A73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8965E7C-C039-4F96-BC90-FE9124888793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093BB5D-7081-4F10-A9B4-00CF06E5F42F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532F618-4CB1-47CE-8242-98F81DD40575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B30BFD9-2377-4FD4-8AA2-329D3D924D65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0FFDC1C-B50D-4A96-A02E-E0D65C50FE27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D316E07-4134-40B2-9C58-1336E38D74BB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495EA32-4204-48D1-B4BA-DF5269241A89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0ABE4A8-4480-45F9-929D-C60E0EB97F44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32BB0BC-CA53-4293-AB25-3E28BCB2A43F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464815F-651D-445D-816C-B661A9D61ED7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DB6ABF1-6ED7-4FD6-A48A-4FBAF1E3D08F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49CC17F-F4BF-44C3-9EE5-935DAD528318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5EBE810-5759-4419-A0C8-F3AAF23D61AE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145D202-2717-4412-9F34-873F2C601723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2F83C4D-7602-491D-8032-9FC0799FF2A5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BB45D5B-313A-4C9E-AD58-BCC4A8F09CD3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645D4A4-7745-4302-90EA-B1CB463CD452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4450AFA-57C6-4843-8702-1FA545EC90A6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81F302B-CAF0-47FF-AD3A-6A8B6229B99D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FF64BA1-B341-4762-B401-FE4454F704E3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9</xdr:col>
      <xdr:colOff>0</xdr:colOff>
      <xdr:row>50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F5E9D28-428A-4F8C-AE70-B48A45E23482}"/>
            </a:ext>
          </a:extLst>
        </xdr:cNvPr>
        <xdr:cNvSpPr txBox="1"/>
      </xdr:nvSpPr>
      <xdr:spPr>
        <a:xfrm>
          <a:off x="9886950" y="1082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RV02\OFFICE\CUSTOMER\E\ESPACE\QUOT001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"/>
      <sheetName val="Chart8"/>
      <sheetName val="Chart7"/>
      <sheetName val="Chart6"/>
      <sheetName val="Chart5"/>
      <sheetName val="Chart4"/>
      <sheetName val="Chart3"/>
      <sheetName val="Chart2"/>
      <sheetName val="Chart1"/>
      <sheetName val="Quotation"/>
      <sheetName val="A) Hardware &amp; Software (2)"/>
      <sheetName val="ORDER"/>
      <sheetName val="AS400 ORDER"/>
      <sheetName val="A) Hardware &amp; Software"/>
      <sheetName val="B) Peripherals"/>
      <sheetName val="C) Server Installation"/>
      <sheetName val="D) Cabling Installation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4"/>
  <sheetViews>
    <sheetView zoomScale="115" zoomScaleNormal="115" workbookViewId="0">
      <selection activeCell="C5" sqref="C5"/>
    </sheetView>
  </sheetViews>
  <sheetFormatPr defaultRowHeight="12.75"/>
  <sheetData>
    <row r="2" spans="2:14">
      <c r="F2" s="290"/>
      <c r="G2" s="291"/>
      <c r="H2" s="291"/>
      <c r="I2" s="292" t="s">
        <v>177</v>
      </c>
      <c r="J2" s="291"/>
      <c r="K2" s="291"/>
      <c r="L2" s="291"/>
      <c r="M2" s="291"/>
      <c r="N2" s="293"/>
    </row>
    <row r="3" spans="2:14" ht="15">
      <c r="F3" s="281"/>
      <c r="I3" s="282"/>
      <c r="J3" s="284" t="s">
        <v>181</v>
      </c>
      <c r="L3" s="282"/>
      <c r="M3" s="282"/>
      <c r="N3" s="283"/>
    </row>
    <row r="4" spans="2:14" ht="18.75" customHeight="1">
      <c r="B4" s="2" t="s">
        <v>190</v>
      </c>
      <c r="F4" s="281" t="s">
        <v>171</v>
      </c>
      <c r="G4" s="282"/>
      <c r="I4" s="282"/>
      <c r="J4" s="284" t="s">
        <v>180</v>
      </c>
      <c r="L4" s="282"/>
      <c r="M4" s="282"/>
      <c r="N4" s="283"/>
    </row>
    <row r="5" spans="2:14" ht="21" customHeight="1">
      <c r="B5" s="2" t="s">
        <v>183</v>
      </c>
      <c r="F5" s="281" t="s">
        <v>172</v>
      </c>
      <c r="G5" s="282"/>
      <c r="H5" s="282"/>
      <c r="I5" s="282"/>
      <c r="J5" s="285" t="s">
        <v>182</v>
      </c>
      <c r="K5" s="282"/>
      <c r="L5" s="282"/>
      <c r="M5" s="282"/>
      <c r="N5" s="283"/>
    </row>
    <row r="6" spans="2:14" ht="21" customHeight="1">
      <c r="B6" s="2" t="s">
        <v>173</v>
      </c>
      <c r="F6" s="281" t="s">
        <v>174</v>
      </c>
      <c r="G6" s="282"/>
      <c r="H6" s="282"/>
      <c r="I6" s="282"/>
      <c r="J6" s="282"/>
      <c r="K6" s="282"/>
      <c r="L6" s="282"/>
      <c r="M6" s="282"/>
      <c r="N6" s="283"/>
    </row>
    <row r="7" spans="2:14" ht="21" customHeight="1">
      <c r="B7" s="2" t="s">
        <v>176</v>
      </c>
      <c r="F7" s="281" t="s">
        <v>175</v>
      </c>
      <c r="G7" s="282"/>
      <c r="H7" s="282"/>
      <c r="I7" s="282"/>
      <c r="J7" s="282"/>
      <c r="K7" s="282"/>
      <c r="L7" s="282"/>
      <c r="M7" s="282"/>
      <c r="N7" s="283"/>
    </row>
    <row r="8" spans="2:14" ht="21" customHeight="1">
      <c r="B8" s="280" t="s">
        <v>178</v>
      </c>
      <c r="C8" s="280"/>
      <c r="D8" s="280"/>
      <c r="F8" s="286" t="s">
        <v>179</v>
      </c>
      <c r="G8" s="287"/>
      <c r="H8" s="287"/>
      <c r="I8" s="287"/>
      <c r="J8" s="287"/>
      <c r="K8" s="288"/>
      <c r="L8" s="288"/>
      <c r="M8" s="288"/>
      <c r="N8" s="289"/>
    </row>
    <row r="9" spans="2:14" ht="21" customHeight="1">
      <c r="B9" s="2" t="s">
        <v>65</v>
      </c>
    </row>
    <row r="10" spans="2:14" ht="21" customHeight="1">
      <c r="B10" s="2" t="s">
        <v>101</v>
      </c>
    </row>
    <row r="11" spans="2:14" ht="21" customHeight="1">
      <c r="B11" s="2" t="s">
        <v>102</v>
      </c>
    </row>
    <row r="12" spans="2:14" ht="21" customHeight="1">
      <c r="B12" s="2" t="s">
        <v>66</v>
      </c>
    </row>
    <row r="13" spans="2:14" ht="21" customHeight="1">
      <c r="B13" s="2" t="s">
        <v>67</v>
      </c>
    </row>
    <row r="14" spans="2:14" ht="21" customHeight="1">
      <c r="B14" s="2" t="s">
        <v>68</v>
      </c>
    </row>
    <row r="18" spans="2:10" ht="14.25">
      <c r="B18" s="19" t="s">
        <v>188</v>
      </c>
      <c r="C18" s="19" t="s">
        <v>189</v>
      </c>
      <c r="D18" s="19"/>
      <c r="E18" s="19"/>
      <c r="F18" s="19"/>
      <c r="G18" s="19"/>
      <c r="H18" s="19"/>
      <c r="I18" s="19"/>
      <c r="J18" s="19"/>
    </row>
    <row r="19" spans="2:10" ht="15" customHeight="1">
      <c r="B19" s="250" t="s">
        <v>167</v>
      </c>
      <c r="C19" s="250"/>
      <c r="D19" s="250"/>
      <c r="E19" s="250"/>
      <c r="F19" s="62"/>
      <c r="G19" s="62"/>
      <c r="H19" s="4"/>
      <c r="I19" s="6"/>
      <c r="J19" s="5"/>
    </row>
    <row r="20" spans="2:10" ht="15.75">
      <c r="B20" s="9" t="s">
        <v>168</v>
      </c>
      <c r="C20" s="71"/>
      <c r="D20" s="3"/>
      <c r="E20" s="8"/>
      <c r="F20" s="3"/>
      <c r="G20" s="8"/>
      <c r="H20" s="4"/>
      <c r="I20" s="6"/>
      <c r="J20" s="5"/>
    </row>
    <row r="21" spans="2:10" ht="15.75">
      <c r="B21" s="9" t="s">
        <v>169</v>
      </c>
      <c r="C21" s="10"/>
      <c r="D21" s="10"/>
      <c r="E21" s="10"/>
      <c r="F21" s="10"/>
      <c r="G21" s="10"/>
      <c r="H21" s="10"/>
      <c r="I21" s="10"/>
      <c r="J21" s="10"/>
    </row>
    <row r="22" spans="2:10" ht="15">
      <c r="B22" s="7" t="s">
        <v>170</v>
      </c>
      <c r="C22" s="1"/>
      <c r="D22" s="1"/>
      <c r="E22" s="1"/>
      <c r="F22" s="1"/>
      <c r="G22" s="1"/>
      <c r="H22" s="1"/>
      <c r="I22" s="1"/>
      <c r="J22" s="7"/>
    </row>
    <row r="23" spans="2:10" ht="15.75">
      <c r="B23" s="11" t="s">
        <v>69</v>
      </c>
      <c r="J23" s="5"/>
    </row>
    <row r="24" spans="2:10" ht="15">
      <c r="B24" s="8" t="s">
        <v>31</v>
      </c>
      <c r="C24" s="8"/>
      <c r="D24" s="8"/>
      <c r="E24" s="8"/>
      <c r="F24" s="8"/>
      <c r="G24" s="8"/>
      <c r="H24" s="8"/>
    </row>
  </sheetData>
  <mergeCells count="1">
    <mergeCell ref="B19:E1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6"/>
  <sheetViews>
    <sheetView view="pageBreakPreview" zoomScale="85" zoomScaleNormal="100" zoomScaleSheetLayoutView="85" workbookViewId="0">
      <selection activeCell="B5" sqref="B5"/>
    </sheetView>
  </sheetViews>
  <sheetFormatPr defaultColWidth="9.140625" defaultRowHeight="18" customHeight="1" outlineLevelCol="1"/>
  <cols>
    <col min="1" max="1" width="5.85546875" style="14" customWidth="1"/>
    <col min="2" max="2" width="43" style="190" customWidth="1"/>
    <col min="3" max="3" width="10" style="15" customWidth="1"/>
    <col min="4" max="4" width="13.140625" style="194" bestFit="1" customWidth="1"/>
    <col min="5" max="5" width="19" style="192" customWidth="1" outlineLevel="1"/>
    <col min="6" max="6" width="17.28515625" style="195" customWidth="1"/>
    <col min="7" max="7" width="22.85546875" style="12" bestFit="1" customWidth="1"/>
    <col min="8" max="16384" width="9.140625" style="12"/>
  </cols>
  <sheetData>
    <row r="1" spans="1:7" ht="31.5" customHeight="1">
      <c r="A1" s="255" t="s">
        <v>7</v>
      </c>
      <c r="B1" s="255"/>
      <c r="C1" s="255"/>
      <c r="D1" s="255"/>
      <c r="E1" s="255"/>
      <c r="F1" s="255"/>
      <c r="G1" s="255"/>
    </row>
    <row r="2" spans="1:7" s="22" customFormat="1" ht="21" customHeight="1">
      <c r="A2" s="65" t="str">
        <f>Bia!B4</f>
        <v>Công trình:  XYZ</v>
      </c>
      <c r="B2" s="123"/>
      <c r="G2" s="22" t="str">
        <f>Bia!B5</f>
        <v xml:space="preserve">Mã số CT: </v>
      </c>
    </row>
    <row r="3" spans="1:7" s="22" customFormat="1" ht="21" customHeight="1">
      <c r="A3" s="65" t="str">
        <f>Bia!B8</f>
        <v>Địa chỉ:</v>
      </c>
      <c r="B3" s="123"/>
      <c r="G3" s="22" t="str">
        <f>Bia!B7</f>
        <v xml:space="preserve">Ngày:  </v>
      </c>
    </row>
    <row r="4" spans="1:7" s="22" customFormat="1" ht="21" customHeight="1">
      <c r="A4" s="65" t="str">
        <f>Bia!B6</f>
        <v xml:space="preserve">Công việc: </v>
      </c>
      <c r="B4" s="123"/>
      <c r="C4" s="136"/>
      <c r="E4" s="137"/>
      <c r="F4" s="138"/>
    </row>
    <row r="5" spans="1:7" s="22" customFormat="1" ht="21" customHeight="1">
      <c r="A5" s="139"/>
      <c r="B5" s="126" t="s">
        <v>5</v>
      </c>
      <c r="D5" s="140"/>
      <c r="E5" s="141"/>
      <c r="F5" s="142"/>
    </row>
    <row r="6" spans="1:7" s="22" customFormat="1" ht="21" customHeight="1">
      <c r="A6" s="99" t="s">
        <v>10</v>
      </c>
      <c r="B6" s="85" t="str">
        <f>Bia!B18</f>
        <v xml:space="preserve">Bên A: </v>
      </c>
      <c r="C6" s="85"/>
      <c r="D6" s="85"/>
      <c r="E6" s="85"/>
      <c r="F6" s="143"/>
    </row>
    <row r="7" spans="1:7" s="22" customFormat="1" ht="21" customHeight="1">
      <c r="A7" s="144"/>
      <c r="B7" s="257" t="str">
        <f>Bia!B19</f>
        <v>Đại diện bởi .</v>
      </c>
      <c r="C7" s="257"/>
      <c r="D7" s="257"/>
      <c r="E7" s="257"/>
      <c r="F7" s="145" t="str">
        <f>Bia!B20</f>
        <v>Chức vụ: .</v>
      </c>
    </row>
    <row r="8" spans="1:7" s="22" customFormat="1" ht="23.25" customHeight="1">
      <c r="A8" s="144"/>
      <c r="B8" s="257" t="str">
        <f>Bia!B20</f>
        <v>Chức vụ: .</v>
      </c>
      <c r="C8" s="258"/>
      <c r="D8" s="258"/>
      <c r="E8" s="258"/>
      <c r="F8" s="258"/>
      <c r="G8" s="258"/>
    </row>
    <row r="9" spans="1:7" s="22" customFormat="1" ht="21" customHeight="1">
      <c r="A9" s="144"/>
      <c r="B9" s="22" t="str">
        <f>Bia!B21</f>
        <v xml:space="preserve">Địa chỉ:  </v>
      </c>
      <c r="E9" s="146"/>
      <c r="F9" s="147"/>
    </row>
    <row r="10" spans="1:7" s="22" customFormat="1" ht="21" customHeight="1">
      <c r="A10" s="144"/>
      <c r="B10" s="91" t="str">
        <f>Bia!B22</f>
        <v>Mã số thuế: .</v>
      </c>
      <c r="C10" s="256" t="str">
        <f>Bia!B24</f>
        <v>Fax: ………………..</v>
      </c>
      <c r="D10" s="256"/>
      <c r="E10" s="256"/>
      <c r="F10" s="127"/>
    </row>
    <row r="11" spans="1:7" s="22" customFormat="1" ht="21" customHeight="1">
      <c r="A11" s="144"/>
      <c r="B11" s="91"/>
      <c r="C11" s="91"/>
      <c r="D11" s="91"/>
      <c r="E11" s="148"/>
      <c r="F11" s="149"/>
    </row>
    <row r="12" spans="1:7" s="153" customFormat="1" ht="21" customHeight="1">
      <c r="A12" s="150"/>
      <c r="B12" s="151" t="str">
        <f>Bia!B9</f>
        <v>Bên B: CÔNG TY TNHH THƯƠNG MẠI DỊCH VỤ Ý ÂN</v>
      </c>
      <c r="C12" s="79"/>
      <c r="D12" s="79"/>
      <c r="E12" s="79"/>
      <c r="F12" s="152"/>
    </row>
    <row r="13" spans="1:7" s="22" customFormat="1" ht="21" customHeight="1">
      <c r="A13" s="144"/>
      <c r="B13" s="257" t="str">
        <f>Bia!B10</f>
        <v>Đại diện bởi Bà: Trần Phạm Ngọc Trân</v>
      </c>
      <c r="C13" s="257"/>
      <c r="D13" s="257"/>
      <c r="E13" s="90" t="str">
        <f>Bia!B11</f>
        <v>Chức vụ: Phó Giám đốc</v>
      </c>
      <c r="F13" s="154"/>
    </row>
    <row r="14" spans="1:7" s="22" customFormat="1" ht="21" customHeight="1">
      <c r="A14" s="144"/>
      <c r="B14" s="91" t="str">
        <f>Bia!B12</f>
        <v>Địa chỉ: 256/41 Nguyễn Tiểu La, Phường Diên Hồng, TP.HCM</v>
      </c>
      <c r="C14" s="127"/>
      <c r="D14" s="127"/>
      <c r="E14" s="127"/>
      <c r="F14" s="155"/>
    </row>
    <row r="15" spans="1:7" s="22" customFormat="1" ht="21" customHeight="1">
      <c r="A15" s="144"/>
      <c r="B15" s="91" t="str">
        <f>Bia!B13</f>
        <v>Mã số thuế: 0319016318</v>
      </c>
      <c r="C15" s="127"/>
      <c r="D15" s="127"/>
      <c r="E15" s="127"/>
      <c r="F15" s="155"/>
    </row>
    <row r="16" spans="1:7" s="22" customFormat="1" ht="21" customHeight="1">
      <c r="A16" s="144"/>
      <c r="B16" s="91" t="str">
        <f>Bia!B14</f>
        <v>Điện thoại: 0975460430</v>
      </c>
      <c r="C16" s="91"/>
      <c r="D16" s="91"/>
      <c r="E16" s="148"/>
      <c r="F16" s="149"/>
    </row>
    <row r="17" spans="1:12" s="22" customFormat="1" ht="21" customHeight="1">
      <c r="A17" s="144"/>
      <c r="B17" s="91"/>
      <c r="C17" s="127"/>
      <c r="D17" s="127"/>
      <c r="E17" s="156"/>
      <c r="F17" s="149"/>
    </row>
    <row r="18" spans="1:12" s="22" customFormat="1" ht="21" customHeight="1">
      <c r="A18" s="99" t="s">
        <v>1</v>
      </c>
      <c r="B18" s="157" t="s">
        <v>8</v>
      </c>
      <c r="C18" s="101"/>
      <c r="D18" s="158"/>
      <c r="E18" s="137"/>
      <c r="F18" s="142"/>
    </row>
    <row r="19" spans="1:12" s="22" customFormat="1" ht="21" customHeight="1">
      <c r="A19" s="159" t="s">
        <v>29</v>
      </c>
      <c r="B19" s="123" t="s">
        <v>25</v>
      </c>
      <c r="D19" s="160"/>
      <c r="E19" s="146"/>
      <c r="F19" s="161"/>
    </row>
    <row r="20" spans="1:12" s="22" customFormat="1" ht="41.25" customHeight="1">
      <c r="A20" s="162" t="s">
        <v>11</v>
      </c>
      <c r="B20" s="163" t="s">
        <v>39</v>
      </c>
      <c r="C20" s="164" t="s">
        <v>0</v>
      </c>
      <c r="D20" s="165" t="s">
        <v>33</v>
      </c>
      <c r="E20" s="166" t="s">
        <v>72</v>
      </c>
      <c r="F20" s="166" t="s">
        <v>35</v>
      </c>
      <c r="G20" s="167" t="s">
        <v>6</v>
      </c>
    </row>
    <row r="21" spans="1:12" s="22" customFormat="1" ht="16.5">
      <c r="A21" s="162" t="s">
        <v>40</v>
      </c>
      <c r="B21" s="197" t="s">
        <v>75</v>
      </c>
      <c r="C21" s="164"/>
      <c r="D21" s="165"/>
      <c r="E21" s="166"/>
      <c r="F21" s="166"/>
      <c r="G21" s="167"/>
    </row>
    <row r="22" spans="1:12" s="22" customFormat="1" ht="16.5">
      <c r="A22" s="168" t="s">
        <v>82</v>
      </c>
      <c r="B22" s="169" t="s">
        <v>41</v>
      </c>
      <c r="C22" s="168" t="s">
        <v>42</v>
      </c>
      <c r="D22" s="170"/>
      <c r="E22" s="171"/>
      <c r="F22" s="172">
        <f>E22*D22</f>
        <v>0</v>
      </c>
      <c r="G22" s="173"/>
    </row>
    <row r="23" spans="1:12" s="22" customFormat="1" ht="16.5">
      <c r="A23" s="168" t="s">
        <v>83</v>
      </c>
      <c r="B23" s="169" t="s">
        <v>76</v>
      </c>
      <c r="C23" s="168" t="s">
        <v>63</v>
      </c>
      <c r="D23" s="170"/>
      <c r="E23" s="171"/>
      <c r="F23" s="172">
        <f t="shared" ref="F23:F37" si="0">E23*D23</f>
        <v>0</v>
      </c>
      <c r="G23" s="173"/>
    </row>
    <row r="24" spans="1:12" s="180" customFormat="1" ht="16.5">
      <c r="A24" s="174" t="s">
        <v>43</v>
      </c>
      <c r="B24" s="175" t="s">
        <v>77</v>
      </c>
      <c r="C24" s="174"/>
      <c r="D24" s="176"/>
      <c r="E24" s="177"/>
      <c r="F24" s="178"/>
      <c r="G24" s="179"/>
    </row>
    <row r="25" spans="1:12" s="22" customFormat="1" ht="16.5">
      <c r="A25" s="168" t="s">
        <v>84</v>
      </c>
      <c r="B25" s="169" t="s">
        <v>103</v>
      </c>
      <c r="C25" s="168" t="s">
        <v>63</v>
      </c>
      <c r="D25" s="170"/>
      <c r="E25" s="171"/>
      <c r="F25" s="172">
        <f t="shared" si="0"/>
        <v>0</v>
      </c>
      <c r="G25" s="173"/>
    </row>
    <row r="26" spans="1:12" s="180" customFormat="1" ht="16.5">
      <c r="A26" s="174" t="s">
        <v>44</v>
      </c>
      <c r="B26" s="175" t="s">
        <v>78</v>
      </c>
      <c r="C26" s="174"/>
      <c r="D26" s="176"/>
      <c r="E26" s="177"/>
      <c r="F26" s="178"/>
      <c r="G26" s="179"/>
    </row>
    <row r="27" spans="1:12" s="22" customFormat="1" ht="16.5">
      <c r="A27" s="168" t="s">
        <v>85</v>
      </c>
      <c r="B27" s="169" t="s">
        <v>104</v>
      </c>
      <c r="C27" s="168" t="s">
        <v>63</v>
      </c>
      <c r="D27" s="170"/>
      <c r="E27" s="171"/>
      <c r="F27" s="172">
        <f t="shared" si="0"/>
        <v>0</v>
      </c>
      <c r="G27" s="173"/>
      <c r="L27" s="22" t="s">
        <v>99</v>
      </c>
    </row>
    <row r="28" spans="1:12" s="22" customFormat="1" ht="16.5">
      <c r="A28" s="168">
        <f>A27+0.1</f>
        <v>3.2</v>
      </c>
      <c r="B28" s="169" t="s">
        <v>105</v>
      </c>
      <c r="C28" s="168" t="s">
        <v>96</v>
      </c>
      <c r="D28" s="170"/>
      <c r="E28" s="171"/>
      <c r="F28" s="172">
        <f t="shared" si="0"/>
        <v>0</v>
      </c>
      <c r="G28" s="173"/>
    </row>
    <row r="29" spans="1:12" s="22" customFormat="1" ht="16.5">
      <c r="A29" s="168">
        <f>A28+0.1</f>
        <v>3.3000000000000003</v>
      </c>
      <c r="B29" s="169" t="s">
        <v>106</v>
      </c>
      <c r="C29" s="168" t="s">
        <v>42</v>
      </c>
      <c r="D29" s="170"/>
      <c r="E29" s="171"/>
      <c r="F29" s="172">
        <f t="shared" si="0"/>
        <v>0</v>
      </c>
      <c r="G29" s="173"/>
    </row>
    <row r="30" spans="1:12" s="180" customFormat="1" ht="16.5">
      <c r="A30" s="174" t="s">
        <v>45</v>
      </c>
      <c r="B30" s="175" t="s">
        <v>79</v>
      </c>
      <c r="C30" s="174"/>
      <c r="D30" s="176"/>
      <c r="E30" s="177"/>
      <c r="F30" s="172">
        <f t="shared" si="0"/>
        <v>0</v>
      </c>
      <c r="G30" s="179"/>
    </row>
    <row r="31" spans="1:12" s="22" customFormat="1" ht="16.5">
      <c r="A31" s="168">
        <v>1</v>
      </c>
      <c r="B31" s="169" t="s">
        <v>97</v>
      </c>
      <c r="C31" s="168" t="s">
        <v>63</v>
      </c>
      <c r="D31" s="170"/>
      <c r="E31" s="171"/>
      <c r="F31" s="172">
        <f t="shared" si="0"/>
        <v>0</v>
      </c>
      <c r="G31" s="173"/>
    </row>
    <row r="32" spans="1:12" s="22" customFormat="1" ht="16.5">
      <c r="A32" s="168">
        <f t="shared" ref="A32" si="1">A31+0.1</f>
        <v>1.1000000000000001</v>
      </c>
      <c r="B32" s="169" t="s">
        <v>98</v>
      </c>
      <c r="C32" s="168" t="s">
        <v>63</v>
      </c>
      <c r="D32" s="170"/>
      <c r="E32" s="171"/>
      <c r="F32" s="172">
        <f t="shared" si="0"/>
        <v>0</v>
      </c>
      <c r="G32" s="173"/>
    </row>
    <row r="33" spans="1:7" s="180" customFormat="1" ht="16.5">
      <c r="A33" s="174" t="s">
        <v>64</v>
      </c>
      <c r="B33" s="175" t="s">
        <v>80</v>
      </c>
      <c r="C33" s="174"/>
      <c r="D33" s="176"/>
      <c r="E33" s="177"/>
      <c r="F33" s="178"/>
      <c r="G33" s="179"/>
    </row>
    <row r="34" spans="1:7" s="22" customFormat="1" ht="16.5">
      <c r="A34" s="168" t="s">
        <v>86</v>
      </c>
      <c r="B34" s="169" t="s">
        <v>107</v>
      </c>
      <c r="C34" s="168" t="s">
        <v>63</v>
      </c>
      <c r="D34" s="170"/>
      <c r="E34" s="171"/>
      <c r="F34" s="172">
        <f t="shared" si="0"/>
        <v>0</v>
      </c>
      <c r="G34" s="173"/>
    </row>
    <row r="35" spans="1:7" s="180" customFormat="1" ht="16.5">
      <c r="A35" s="174" t="s">
        <v>89</v>
      </c>
      <c r="B35" s="175" t="s">
        <v>81</v>
      </c>
      <c r="C35" s="174"/>
      <c r="D35" s="176"/>
      <c r="E35" s="177"/>
      <c r="F35" s="178"/>
      <c r="G35" s="179"/>
    </row>
    <row r="36" spans="1:7" s="22" customFormat="1" ht="33">
      <c r="A36" s="168" t="s">
        <v>87</v>
      </c>
      <c r="B36" s="169" t="s">
        <v>108</v>
      </c>
      <c r="C36" s="168" t="s">
        <v>109</v>
      </c>
      <c r="D36" s="170"/>
      <c r="E36" s="171"/>
      <c r="F36" s="172">
        <f t="shared" si="0"/>
        <v>0</v>
      </c>
      <c r="G36" s="173"/>
    </row>
    <row r="37" spans="1:7" s="22" customFormat="1" ht="16.5">
      <c r="A37" s="168" t="s">
        <v>88</v>
      </c>
      <c r="B37" s="169" t="s">
        <v>110</v>
      </c>
      <c r="C37" s="168" t="s">
        <v>109</v>
      </c>
      <c r="D37" s="170"/>
      <c r="E37" s="171"/>
      <c r="F37" s="172">
        <f t="shared" si="0"/>
        <v>0</v>
      </c>
      <c r="G37" s="173"/>
    </row>
    <row r="38" spans="1:7" s="22" customFormat="1" ht="16.5">
      <c r="A38" s="168" t="s">
        <v>93</v>
      </c>
      <c r="B38" s="169" t="s">
        <v>95</v>
      </c>
      <c r="C38" s="168" t="s">
        <v>109</v>
      </c>
      <c r="D38" s="170"/>
      <c r="E38" s="171"/>
      <c r="F38" s="172">
        <f t="shared" ref="F38" si="2">E38*D38</f>
        <v>0</v>
      </c>
      <c r="G38" s="173"/>
    </row>
    <row r="39" spans="1:7" s="22" customFormat="1" ht="16.5">
      <c r="A39" s="168" t="s">
        <v>94</v>
      </c>
      <c r="B39" s="169" t="s">
        <v>111</v>
      </c>
      <c r="C39" s="168" t="s">
        <v>42</v>
      </c>
      <c r="D39" s="170"/>
      <c r="E39" s="171"/>
      <c r="F39" s="172">
        <f t="shared" ref="F39:F41" si="3">E39*D39</f>
        <v>0</v>
      </c>
      <c r="G39" s="173"/>
    </row>
    <row r="40" spans="1:7" s="180" customFormat="1" ht="16.5">
      <c r="A40" s="174" t="s">
        <v>118</v>
      </c>
      <c r="B40" s="175" t="s">
        <v>117</v>
      </c>
      <c r="C40" s="174"/>
      <c r="D40" s="176"/>
      <c r="E40" s="177"/>
      <c r="F40" s="178"/>
      <c r="G40" s="179"/>
    </row>
    <row r="41" spans="1:7" s="22" customFormat="1" ht="33">
      <c r="A41" s="168">
        <v>7.1</v>
      </c>
      <c r="B41" s="169" t="s">
        <v>119</v>
      </c>
      <c r="C41" s="168" t="s">
        <v>42</v>
      </c>
      <c r="D41" s="170"/>
      <c r="E41" s="171"/>
      <c r="F41" s="172">
        <f t="shared" si="3"/>
        <v>0</v>
      </c>
      <c r="G41" s="173"/>
    </row>
    <row r="42" spans="1:7" s="22" customFormat="1" ht="16.5">
      <c r="A42" s="254" t="s">
        <v>46</v>
      </c>
      <c r="B42" s="254"/>
      <c r="C42" s="254"/>
      <c r="D42" s="254"/>
      <c r="E42" s="254"/>
      <c r="F42" s="178">
        <f>SUBTOTAL(9,F21:F39)</f>
        <v>0</v>
      </c>
      <c r="G42" s="181"/>
    </row>
    <row r="43" spans="1:7" s="22" customFormat="1" ht="16.5">
      <c r="A43" s="254" t="s">
        <v>114</v>
      </c>
      <c r="B43" s="254"/>
      <c r="C43" s="254"/>
      <c r="D43" s="254"/>
      <c r="E43" s="254"/>
      <c r="F43" s="178"/>
      <c r="G43" s="181"/>
    </row>
    <row r="44" spans="1:7" s="22" customFormat="1" ht="16.5">
      <c r="A44" s="254" t="s">
        <v>115</v>
      </c>
      <c r="B44" s="254"/>
      <c r="C44" s="254"/>
      <c r="D44" s="254"/>
      <c r="E44" s="254"/>
      <c r="F44" s="178">
        <f>F42-F43</f>
        <v>0</v>
      </c>
      <c r="G44" s="181" t="s">
        <v>116</v>
      </c>
    </row>
    <row r="45" spans="1:7" s="22" customFormat="1" ht="16.5">
      <c r="A45" s="254" t="s">
        <v>73</v>
      </c>
      <c r="B45" s="254"/>
      <c r="C45" s="254"/>
      <c r="D45" s="254"/>
      <c r="E45" s="254"/>
      <c r="F45" s="178">
        <f>F44*8%</f>
        <v>0</v>
      </c>
      <c r="G45" s="181"/>
    </row>
    <row r="46" spans="1:7" s="22" customFormat="1" ht="16.5">
      <c r="A46" s="254" t="s">
        <v>74</v>
      </c>
      <c r="B46" s="254"/>
      <c r="C46" s="254"/>
      <c r="D46" s="254"/>
      <c r="E46" s="254"/>
      <c r="F46" s="178">
        <f>F44+F45</f>
        <v>0</v>
      </c>
      <c r="G46" s="181"/>
    </row>
    <row r="47" spans="1:7" s="22" customFormat="1" ht="21" customHeight="1">
      <c r="A47" s="127"/>
      <c r="B47" s="180"/>
      <c r="C47" s="182"/>
      <c r="D47" s="183"/>
      <c r="E47" s="182"/>
      <c r="F47" s="184"/>
      <c r="G47" s="182"/>
    </row>
    <row r="48" spans="1:7" s="22" customFormat="1" ht="21" customHeight="1">
      <c r="A48" s="127"/>
      <c r="B48" s="180" t="s">
        <v>113</v>
      </c>
      <c r="C48" s="182"/>
      <c r="D48" s="183"/>
      <c r="E48" s="182"/>
      <c r="F48" s="184"/>
      <c r="G48" s="182"/>
    </row>
    <row r="49" spans="1:7" s="22" customFormat="1" ht="21" customHeight="1">
      <c r="A49" s="127"/>
      <c r="B49" s="127" t="s">
        <v>47</v>
      </c>
      <c r="C49" s="182"/>
      <c r="D49" s="183"/>
      <c r="E49" s="182"/>
      <c r="F49" s="184"/>
      <c r="G49" s="182"/>
    </row>
    <row r="50" spans="1:7" s="22" customFormat="1" ht="21" customHeight="1">
      <c r="A50" s="127"/>
      <c r="B50" s="127" t="s">
        <v>71</v>
      </c>
      <c r="C50" s="182"/>
      <c r="D50" s="183"/>
      <c r="E50" s="182"/>
      <c r="F50" s="184"/>
      <c r="G50" s="182"/>
    </row>
    <row r="51" spans="1:7" s="22" customFormat="1" ht="21" customHeight="1">
      <c r="A51" s="127"/>
      <c r="B51" s="127" t="s">
        <v>48</v>
      </c>
      <c r="C51" s="182"/>
      <c r="D51" s="183"/>
      <c r="E51" s="182"/>
      <c r="F51" s="184"/>
      <c r="G51" s="182"/>
    </row>
    <row r="52" spans="1:7" s="22" customFormat="1" ht="21" customHeight="1">
      <c r="A52" s="127"/>
      <c r="B52" s="127" t="s">
        <v>100</v>
      </c>
      <c r="C52" s="182"/>
      <c r="D52" s="183"/>
      <c r="E52" s="182"/>
      <c r="F52" s="184"/>
      <c r="G52" s="182"/>
    </row>
    <row r="53" spans="1:7" s="22" customFormat="1" ht="21" customHeight="1">
      <c r="A53" s="66" t="s">
        <v>36</v>
      </c>
      <c r="B53" s="182" t="s">
        <v>37</v>
      </c>
      <c r="C53" s="182"/>
      <c r="D53" s="183"/>
      <c r="E53" s="182"/>
      <c r="F53" s="184"/>
      <c r="G53" s="182"/>
    </row>
    <row r="54" spans="1:7" s="22" customFormat="1" ht="21" customHeight="1">
      <c r="A54" s="66"/>
      <c r="B54" s="185" t="s">
        <v>70</v>
      </c>
      <c r="C54" s="128"/>
      <c r="D54" s="158"/>
      <c r="E54" s="128"/>
      <c r="F54" s="186"/>
      <c r="G54" s="128"/>
    </row>
    <row r="55" spans="1:7" s="22" customFormat="1" ht="54" customHeight="1">
      <c r="A55" s="127"/>
      <c r="B55" s="251" t="s">
        <v>90</v>
      </c>
      <c r="C55" s="251"/>
      <c r="D55" s="251"/>
      <c r="E55" s="251"/>
      <c r="F55" s="251"/>
      <c r="G55" s="251"/>
    </row>
    <row r="56" spans="1:7" s="22" customFormat="1" ht="21" customHeight="1">
      <c r="A56" s="187" t="s">
        <v>9</v>
      </c>
      <c r="B56" s="251" t="s">
        <v>32</v>
      </c>
      <c r="C56" s="251"/>
      <c r="D56" s="251"/>
      <c r="E56" s="251"/>
      <c r="F56" s="251"/>
      <c r="G56" s="251"/>
    </row>
    <row r="57" spans="1:7" s="22" customFormat="1" ht="21" customHeight="1">
      <c r="A57" s="187"/>
      <c r="B57" s="128"/>
      <c r="C57" s="128"/>
      <c r="D57" s="183"/>
      <c r="E57" s="128"/>
      <c r="F57" s="186"/>
      <c r="G57" s="128"/>
    </row>
    <row r="58" spans="1:7" s="22" customFormat="1" ht="21" customHeight="1">
      <c r="A58" s="75"/>
      <c r="B58" s="66" t="s">
        <v>27</v>
      </c>
      <c r="C58" s="128"/>
      <c r="D58" s="183"/>
      <c r="E58" s="252" t="s">
        <v>38</v>
      </c>
      <c r="F58" s="252"/>
      <c r="G58" s="252"/>
    </row>
    <row r="59" spans="1:7" s="22" customFormat="1" ht="21" customHeight="1">
      <c r="A59" s="68"/>
      <c r="B59" s="127"/>
      <c r="C59" s="68"/>
      <c r="D59" s="188"/>
      <c r="E59" s="127"/>
      <c r="F59" s="90"/>
      <c r="G59" s="189"/>
    </row>
    <row r="60" spans="1:7" s="22" customFormat="1" ht="21" customHeight="1">
      <c r="A60" s="68"/>
      <c r="B60" s="127"/>
      <c r="C60" s="68"/>
      <c r="D60" s="188"/>
      <c r="E60" s="127"/>
      <c r="F60" s="90"/>
      <c r="G60" s="189"/>
    </row>
    <row r="61" spans="1:7" s="127" customFormat="1" ht="21" customHeight="1">
      <c r="A61" s="68"/>
      <c r="C61" s="68"/>
      <c r="D61" s="188"/>
      <c r="E61" s="22"/>
      <c r="F61" s="93"/>
      <c r="G61" s="189"/>
    </row>
    <row r="62" spans="1:7" s="127" customFormat="1" ht="21" customHeight="1">
      <c r="A62" s="68"/>
      <c r="B62" s="79"/>
      <c r="C62" s="68"/>
      <c r="D62" s="188"/>
      <c r="E62" s="253" t="s">
        <v>112</v>
      </c>
      <c r="F62" s="253"/>
      <c r="G62" s="253"/>
    </row>
    <row r="63" spans="1:7" ht="18" customHeight="1">
      <c r="D63" s="191"/>
      <c r="F63" s="193"/>
    </row>
    <row r="64" spans="1:7" ht="18" customHeight="1">
      <c r="D64" s="191"/>
      <c r="F64" s="193"/>
    </row>
    <row r="65" spans="4:6" ht="18" customHeight="1">
      <c r="D65" s="191"/>
      <c r="F65" s="193"/>
    </row>
    <row r="66" spans="4:6" ht="18" customHeight="1">
      <c r="D66" s="191"/>
      <c r="F66" s="193"/>
    </row>
  </sheetData>
  <mergeCells count="14">
    <mergeCell ref="A1:G1"/>
    <mergeCell ref="C10:E10"/>
    <mergeCell ref="B13:D13"/>
    <mergeCell ref="B8:G8"/>
    <mergeCell ref="B7:E7"/>
    <mergeCell ref="B55:G55"/>
    <mergeCell ref="B56:G56"/>
    <mergeCell ref="E58:G58"/>
    <mergeCell ref="E62:G62"/>
    <mergeCell ref="A42:E42"/>
    <mergeCell ref="A45:E45"/>
    <mergeCell ref="A46:E46"/>
    <mergeCell ref="A43:E43"/>
    <mergeCell ref="A44:E44"/>
  </mergeCells>
  <phoneticPr fontId="24" type="noConversion"/>
  <printOptions horizontalCentered="1"/>
  <pageMargins left="0.25" right="0" top="0.25" bottom="0.1" header="0.19" footer="0.12"/>
  <pageSetup paperSize="9" scale="64" orientation="portrait" cellComments="atEnd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J71"/>
  <sheetViews>
    <sheetView zoomScaleNormal="100" zoomScaleSheetLayoutView="100" workbookViewId="0">
      <selection activeCell="I27" sqref="I27"/>
    </sheetView>
  </sheetViews>
  <sheetFormatPr defaultColWidth="9.140625" defaultRowHeight="12.75"/>
  <cols>
    <col min="1" max="1" width="5.42578125" customWidth="1"/>
    <col min="2" max="2" width="51.7109375" customWidth="1"/>
    <col min="3" max="3" width="10.7109375" customWidth="1"/>
    <col min="4" max="4" width="15.42578125" customWidth="1"/>
    <col min="5" max="5" width="17.7109375" customWidth="1"/>
    <col min="6" max="6" width="11.7109375" customWidth="1"/>
    <col min="7" max="7" width="14.7109375" customWidth="1"/>
  </cols>
  <sheetData>
    <row r="1" spans="1:8" ht="25.5" customHeight="1">
      <c r="A1" s="264" t="s">
        <v>12</v>
      </c>
      <c r="B1" s="264"/>
      <c r="C1" s="264"/>
      <c r="D1" s="264"/>
      <c r="E1" s="264"/>
      <c r="F1" s="264"/>
      <c r="G1" s="264"/>
      <c r="H1" s="64"/>
    </row>
    <row r="2" spans="1:8" ht="13.5" customHeight="1">
      <c r="A2" s="72"/>
      <c r="B2" s="72"/>
      <c r="C2" s="72"/>
      <c r="D2" s="72"/>
      <c r="E2" s="72"/>
      <c r="F2" s="72"/>
      <c r="G2" s="72"/>
      <c r="H2" s="64"/>
    </row>
    <row r="3" spans="1:8" s="74" customFormat="1" ht="18" customHeight="1">
      <c r="A3" s="74" t="str">
        <f>Bia!B4</f>
        <v>Công trình:  XYZ</v>
      </c>
      <c r="F3" s="74" t="str">
        <f>Bia!B5</f>
        <v xml:space="preserve">Mã số CT: </v>
      </c>
    </row>
    <row r="4" spans="1:8" s="74" customFormat="1" ht="18" customHeight="1">
      <c r="A4" s="118" t="str">
        <f>Bia!B8</f>
        <v>Địa chỉ:</v>
      </c>
      <c r="F4" s="74" t="s">
        <v>120</v>
      </c>
    </row>
    <row r="5" spans="1:8" s="74" customFormat="1" ht="18" customHeight="1">
      <c r="A5" s="74" t="str">
        <f>Bia!B6</f>
        <v xml:space="preserve">Công việc: </v>
      </c>
    </row>
    <row r="6" spans="1:8" s="18" customFormat="1" ht="8.25" customHeight="1"/>
    <row r="7" spans="1:8" s="18" customFormat="1" ht="18" customHeight="1">
      <c r="A7" s="265" t="s">
        <v>5</v>
      </c>
      <c r="B7" s="265"/>
      <c r="C7" s="265"/>
      <c r="H7" s="18" t="s">
        <v>26</v>
      </c>
    </row>
    <row r="8" spans="1:8" s="18" customFormat="1" ht="18" customHeight="1">
      <c r="A8" s="267" t="str">
        <f>Bia!B18</f>
        <v xml:space="preserve">Bên A: </v>
      </c>
      <c r="B8" s="267"/>
      <c r="C8" s="267"/>
      <c r="D8" s="267"/>
      <c r="E8" s="267"/>
      <c r="F8" s="267"/>
    </row>
    <row r="9" spans="1:8" s="18" customFormat="1" ht="16.5">
      <c r="A9" s="265" t="str">
        <f>Bia!B19</f>
        <v>Đại diện bởi .</v>
      </c>
      <c r="B9" s="265"/>
      <c r="C9" s="265"/>
      <c r="D9" s="23" t="str">
        <f>Bia!B20</f>
        <v>Chức vụ: .</v>
      </c>
      <c r="E9" s="24"/>
      <c r="F9" s="35"/>
      <c r="G9" s="28"/>
    </row>
    <row r="10" spans="1:8" s="18" customFormat="1" ht="18" customHeight="1">
      <c r="A10" s="26" t="str">
        <f>Bia!B21</f>
        <v xml:space="preserve">Địa chỉ:  </v>
      </c>
      <c r="B10" s="26"/>
      <c r="C10" s="26"/>
      <c r="D10" s="27"/>
      <c r="E10" s="26"/>
      <c r="F10" s="26"/>
    </row>
    <row r="11" spans="1:8" s="18" customFormat="1" ht="18" customHeight="1">
      <c r="A11" s="28" t="str">
        <f>Bia!B22</f>
        <v>Mã số thuế: .</v>
      </c>
      <c r="F11" s="25"/>
    </row>
    <row r="12" spans="1:8" s="18" customFormat="1" ht="18" customHeight="1">
      <c r="A12" s="28" t="str">
        <f>Bia!B23</f>
        <v>Điện thoại: …...........</v>
      </c>
      <c r="B12" s="28"/>
      <c r="C12" s="28"/>
      <c r="D12" s="28" t="str">
        <f>Bia!B24</f>
        <v>Fax: ………………..</v>
      </c>
      <c r="E12" s="28"/>
    </row>
    <row r="13" spans="1:8" s="18" customFormat="1" ht="10.5" customHeight="1">
      <c r="A13" s="28"/>
      <c r="B13" s="29"/>
      <c r="C13" s="29"/>
      <c r="D13" s="30"/>
      <c r="E13" s="29"/>
      <c r="F13" s="25"/>
    </row>
    <row r="14" spans="1:8" s="18" customFormat="1" ht="18" customHeight="1">
      <c r="A14" s="268" t="str">
        <f>Bia!B9</f>
        <v>Bên B: CÔNG TY TNHH THƯƠNG MẠI DỊCH VỤ Ý ÂN</v>
      </c>
      <c r="B14" s="268"/>
      <c r="C14" s="268"/>
      <c r="D14" s="268"/>
      <c r="E14" s="268"/>
      <c r="F14" s="268"/>
    </row>
    <row r="15" spans="1:8" s="18" customFormat="1" ht="18" customHeight="1">
      <c r="A15" s="265" t="str">
        <f>Bia!B10</f>
        <v>Đại diện bởi Bà: Trần Phạm Ngọc Trân</v>
      </c>
      <c r="B15" s="265"/>
      <c r="C15" s="265"/>
      <c r="D15" s="24" t="str">
        <f>Bia!B11</f>
        <v>Chức vụ: Phó Giám đốc</v>
      </c>
      <c r="F15" s="25"/>
    </row>
    <row r="16" spans="1:8" s="18" customFormat="1" ht="18" customHeight="1">
      <c r="A16" s="28" t="str">
        <f>Bia!B12</f>
        <v>Địa chỉ: 256/41 Nguyễn Tiểu La, Phường Diên Hồng, TP.HCM</v>
      </c>
      <c r="B16" s="28"/>
      <c r="C16" s="28"/>
      <c r="D16" s="28"/>
      <c r="E16" s="28"/>
      <c r="F16" s="25"/>
    </row>
    <row r="17" spans="1:10" s="18" customFormat="1" ht="18" customHeight="1">
      <c r="A17" s="28" t="str">
        <f>Bia!B13</f>
        <v>Mã số thuế: 0319016318</v>
      </c>
      <c r="B17" s="29"/>
      <c r="C17" s="29"/>
      <c r="D17" s="30"/>
      <c r="E17" s="29"/>
      <c r="F17" s="25"/>
    </row>
    <row r="18" spans="1:10" s="18" customFormat="1" ht="18" customHeight="1">
      <c r="A18" s="28" t="str">
        <f>Bia!B14</f>
        <v>Điện thoại: 0975460430</v>
      </c>
      <c r="B18" s="29"/>
      <c r="C18" s="29"/>
      <c r="D18" s="30"/>
      <c r="E18" s="29"/>
      <c r="F18" s="25"/>
    </row>
    <row r="19" spans="1:10" s="18" customFormat="1" ht="9" customHeight="1"/>
    <row r="20" spans="1:10" s="18" customFormat="1" ht="18" customHeight="1">
      <c r="A20" s="31" t="s">
        <v>1</v>
      </c>
      <c r="B20" s="266" t="s">
        <v>13</v>
      </c>
      <c r="C20" s="266"/>
      <c r="D20" s="266"/>
      <c r="E20" s="32"/>
      <c r="F20" s="33"/>
      <c r="G20" s="34"/>
      <c r="H20" s="35"/>
    </row>
    <row r="21" spans="1:10" s="18" customFormat="1" ht="42" customHeight="1">
      <c r="A21" s="36" t="s">
        <v>2</v>
      </c>
      <c r="B21" s="265" t="s">
        <v>121</v>
      </c>
      <c r="C21" s="265"/>
      <c r="D21" s="265"/>
      <c r="E21" s="265"/>
      <c r="F21" s="265"/>
      <c r="G21" s="265"/>
      <c r="H21" s="28"/>
    </row>
    <row r="22" spans="1:10" s="18" customFormat="1" ht="18" customHeight="1">
      <c r="A22" s="36"/>
      <c r="B22" s="269" t="s">
        <v>24</v>
      </c>
      <c r="C22" s="269"/>
      <c r="D22" s="269"/>
      <c r="E22" s="269"/>
      <c r="F22" s="269"/>
      <c r="G22" s="269"/>
      <c r="H22" s="28"/>
    </row>
    <row r="23" spans="1:10" s="18" customFormat="1" ht="48" customHeight="1">
      <c r="A23" s="133" t="s">
        <v>14</v>
      </c>
      <c r="B23" s="133" t="s">
        <v>4</v>
      </c>
      <c r="C23" s="133" t="s">
        <v>0</v>
      </c>
      <c r="D23" s="134" t="s">
        <v>60</v>
      </c>
      <c r="E23" s="134" t="s">
        <v>61</v>
      </c>
      <c r="F23" s="132" t="s">
        <v>15</v>
      </c>
      <c r="G23" s="132" t="s">
        <v>6</v>
      </c>
      <c r="H23" s="28"/>
      <c r="J23" s="18" t="s">
        <v>26</v>
      </c>
    </row>
    <row r="24" spans="1:10" s="18" customFormat="1" ht="16.5">
      <c r="A24" s="162" t="s">
        <v>40</v>
      </c>
      <c r="B24" s="197" t="s">
        <v>75</v>
      </c>
      <c r="C24" s="164"/>
      <c r="D24" s="165"/>
      <c r="E24" s="165"/>
      <c r="F24" s="167"/>
      <c r="G24" s="73"/>
      <c r="H24" s="28"/>
    </row>
    <row r="25" spans="1:10" s="18" customFormat="1" ht="16.5">
      <c r="A25" s="168" t="s">
        <v>82</v>
      </c>
      <c r="B25" s="169" t="s">
        <v>41</v>
      </c>
      <c r="C25" s="168" t="s">
        <v>42</v>
      </c>
      <c r="D25" s="170"/>
      <c r="E25" s="170"/>
      <c r="F25" s="196">
        <v>1</v>
      </c>
      <c r="G25" s="73"/>
      <c r="H25" s="28"/>
    </row>
    <row r="26" spans="1:10" s="18" customFormat="1" ht="16.5">
      <c r="A26" s="168" t="s">
        <v>83</v>
      </c>
      <c r="B26" s="169" t="s">
        <v>76</v>
      </c>
      <c r="C26" s="168" t="s">
        <v>63</v>
      </c>
      <c r="D26" s="170"/>
      <c r="E26" s="170"/>
      <c r="F26" s="196">
        <v>1</v>
      </c>
      <c r="G26" s="73"/>
      <c r="H26" s="28"/>
    </row>
    <row r="27" spans="1:10" s="18" customFormat="1" ht="16.5">
      <c r="A27" s="174" t="s">
        <v>43</v>
      </c>
      <c r="B27" s="175" t="s">
        <v>77</v>
      </c>
      <c r="C27" s="174"/>
      <c r="D27" s="176"/>
      <c r="E27" s="176"/>
      <c r="F27" s="179"/>
      <c r="G27" s="73"/>
      <c r="H27" s="28"/>
    </row>
    <row r="28" spans="1:10" s="18" customFormat="1" ht="16.5">
      <c r="A28" s="168" t="s">
        <v>84</v>
      </c>
      <c r="B28" s="169" t="s">
        <v>103</v>
      </c>
      <c r="C28" s="168" t="s">
        <v>63</v>
      </c>
      <c r="D28" s="170"/>
      <c r="E28" s="170"/>
      <c r="F28" s="196">
        <v>1</v>
      </c>
      <c r="G28" s="73"/>
      <c r="H28" s="28"/>
    </row>
    <row r="29" spans="1:10" s="18" customFormat="1" ht="16.5">
      <c r="A29" s="174" t="s">
        <v>44</v>
      </c>
      <c r="B29" s="175" t="s">
        <v>78</v>
      </c>
      <c r="C29" s="174"/>
      <c r="D29" s="176"/>
      <c r="E29" s="176"/>
      <c r="F29" s="179"/>
      <c r="G29" s="73"/>
      <c r="H29" s="28"/>
    </row>
    <row r="30" spans="1:10" s="18" customFormat="1" ht="16.5">
      <c r="A30" s="168" t="s">
        <v>85</v>
      </c>
      <c r="B30" s="169" t="s">
        <v>104</v>
      </c>
      <c r="C30" s="168" t="s">
        <v>63</v>
      </c>
      <c r="D30" s="170"/>
      <c r="E30" s="170"/>
      <c r="F30" s="196">
        <v>1</v>
      </c>
      <c r="G30" s="73"/>
      <c r="H30" s="28"/>
    </row>
    <row r="31" spans="1:10" s="18" customFormat="1" ht="16.5">
      <c r="A31" s="168">
        <f>A30+0.1</f>
        <v>3.2</v>
      </c>
      <c r="B31" s="169" t="s">
        <v>105</v>
      </c>
      <c r="C31" s="168" t="s">
        <v>96</v>
      </c>
      <c r="D31" s="170"/>
      <c r="E31" s="170"/>
      <c r="F31" s="196">
        <v>1</v>
      </c>
      <c r="G31" s="73"/>
      <c r="H31" s="28"/>
    </row>
    <row r="32" spans="1:10" s="18" customFormat="1" ht="16.5">
      <c r="A32" s="168">
        <f>A31+0.1</f>
        <v>3.3000000000000003</v>
      </c>
      <c r="B32" s="169" t="s">
        <v>106</v>
      </c>
      <c r="C32" s="168" t="s">
        <v>42</v>
      </c>
      <c r="D32" s="170"/>
      <c r="E32" s="170"/>
      <c r="F32" s="196">
        <v>1</v>
      </c>
      <c r="G32" s="73"/>
      <c r="H32" s="28"/>
    </row>
    <row r="33" spans="1:8" s="18" customFormat="1" ht="16.5">
      <c r="A33" s="174" t="s">
        <v>45</v>
      </c>
      <c r="B33" s="175" t="s">
        <v>79</v>
      </c>
      <c r="C33" s="174"/>
      <c r="D33" s="176"/>
      <c r="E33" s="176"/>
      <c r="F33" s="179"/>
      <c r="G33" s="73"/>
      <c r="H33" s="28"/>
    </row>
    <row r="34" spans="1:8" s="18" customFormat="1" ht="16.5">
      <c r="A34" s="168">
        <v>1</v>
      </c>
      <c r="B34" s="169" t="s">
        <v>97</v>
      </c>
      <c r="C34" s="168" t="s">
        <v>63</v>
      </c>
      <c r="D34" s="170"/>
      <c r="E34" s="170"/>
      <c r="F34" s="196">
        <v>1</v>
      </c>
      <c r="G34" s="73"/>
      <c r="H34" s="28"/>
    </row>
    <row r="35" spans="1:8" s="18" customFormat="1" ht="16.5">
      <c r="A35" s="168">
        <f t="shared" ref="A35" si="0">A34+0.1</f>
        <v>1.1000000000000001</v>
      </c>
      <c r="B35" s="169" t="s">
        <v>98</v>
      </c>
      <c r="C35" s="168" t="s">
        <v>63</v>
      </c>
      <c r="D35" s="170"/>
      <c r="E35" s="170"/>
      <c r="F35" s="196">
        <v>1</v>
      </c>
      <c r="G35" s="73"/>
      <c r="H35" s="28"/>
    </row>
    <row r="36" spans="1:8" s="18" customFormat="1" ht="16.5">
      <c r="A36" s="174" t="s">
        <v>64</v>
      </c>
      <c r="B36" s="175" t="s">
        <v>80</v>
      </c>
      <c r="C36" s="174"/>
      <c r="D36" s="176"/>
      <c r="E36" s="176"/>
      <c r="F36" s="179"/>
      <c r="G36" s="73"/>
      <c r="H36" s="28"/>
    </row>
    <row r="37" spans="1:8" s="18" customFormat="1" ht="16.5">
      <c r="A37" s="168" t="s">
        <v>86</v>
      </c>
      <c r="B37" s="169" t="s">
        <v>107</v>
      </c>
      <c r="C37" s="168" t="s">
        <v>63</v>
      </c>
      <c r="D37" s="170"/>
      <c r="E37" s="170"/>
      <c r="F37" s="196">
        <v>1</v>
      </c>
      <c r="G37" s="73"/>
      <c r="H37" s="28"/>
    </row>
    <row r="38" spans="1:8" s="18" customFormat="1" ht="16.5">
      <c r="A38" s="174" t="s">
        <v>89</v>
      </c>
      <c r="B38" s="175" t="s">
        <v>81</v>
      </c>
      <c r="C38" s="174"/>
      <c r="D38" s="176"/>
      <c r="E38" s="176"/>
      <c r="F38" s="179"/>
      <c r="G38" s="73"/>
      <c r="H38" s="28"/>
    </row>
    <row r="39" spans="1:8" s="18" customFormat="1" ht="15" customHeight="1">
      <c r="A39" s="168" t="s">
        <v>87</v>
      </c>
      <c r="B39" s="169" t="s">
        <v>108</v>
      </c>
      <c r="C39" s="168" t="s">
        <v>109</v>
      </c>
      <c r="D39" s="170"/>
      <c r="E39" s="170"/>
      <c r="F39" s="196">
        <v>1</v>
      </c>
      <c r="G39" s="73"/>
      <c r="H39" s="28"/>
    </row>
    <row r="40" spans="1:8" s="18" customFormat="1" ht="16.5">
      <c r="A40" s="168" t="s">
        <v>88</v>
      </c>
      <c r="B40" s="169" t="s">
        <v>110</v>
      </c>
      <c r="C40" s="168" t="s">
        <v>109</v>
      </c>
      <c r="D40" s="170"/>
      <c r="E40" s="170"/>
      <c r="F40" s="196">
        <v>1</v>
      </c>
      <c r="G40" s="73"/>
      <c r="H40" s="28"/>
    </row>
    <row r="41" spans="1:8" s="18" customFormat="1" ht="16.5">
      <c r="A41" s="168" t="s">
        <v>93</v>
      </c>
      <c r="B41" s="169" t="s">
        <v>95</v>
      </c>
      <c r="C41" s="168" t="s">
        <v>109</v>
      </c>
      <c r="D41" s="170"/>
      <c r="E41" s="170"/>
      <c r="F41" s="196">
        <v>1</v>
      </c>
      <c r="G41" s="73"/>
      <c r="H41" s="28"/>
    </row>
    <row r="42" spans="1:8" s="18" customFormat="1" ht="16.5">
      <c r="A42" s="168" t="s">
        <v>94</v>
      </c>
      <c r="B42" s="169" t="s">
        <v>111</v>
      </c>
      <c r="C42" s="168" t="s">
        <v>42</v>
      </c>
      <c r="D42" s="170"/>
      <c r="E42" s="170"/>
      <c r="F42" s="196">
        <v>1</v>
      </c>
      <c r="G42" s="73"/>
      <c r="H42" s="28"/>
    </row>
    <row r="43" spans="1:8" s="18" customFormat="1" ht="16.5">
      <c r="A43" s="174" t="s">
        <v>118</v>
      </c>
      <c r="B43" s="175" t="s">
        <v>117</v>
      </c>
      <c r="C43" s="174"/>
      <c r="D43" s="176"/>
      <c r="E43" s="176"/>
      <c r="F43" s="179"/>
      <c r="G43" s="73"/>
      <c r="H43" s="28"/>
    </row>
    <row r="44" spans="1:8" s="18" customFormat="1" ht="33">
      <c r="A44" s="168">
        <v>7.1</v>
      </c>
      <c r="B44" s="169" t="s">
        <v>119</v>
      </c>
      <c r="C44" s="168" t="s">
        <v>42</v>
      </c>
      <c r="D44" s="170"/>
      <c r="E44" s="170"/>
      <c r="F44" s="196">
        <v>1</v>
      </c>
      <c r="G44" s="73"/>
      <c r="H44" s="28"/>
    </row>
    <row r="45" spans="1:8" s="18" customFormat="1" ht="23.25" customHeight="1">
      <c r="A45" s="37"/>
      <c r="B45" s="55"/>
      <c r="C45" s="56"/>
      <c r="D45" s="38"/>
      <c r="E45" s="39" t="s">
        <v>16</v>
      </c>
      <c r="F45" s="119">
        <v>1</v>
      </c>
      <c r="G45" s="40"/>
      <c r="H45" s="28"/>
    </row>
    <row r="46" spans="1:8" s="18" customFormat="1" ht="21" customHeight="1">
      <c r="A46" s="41" t="s">
        <v>17</v>
      </c>
      <c r="B46" s="262" t="s">
        <v>18</v>
      </c>
      <c r="C46" s="262"/>
      <c r="D46" s="43"/>
      <c r="E46" s="44"/>
      <c r="F46" s="41"/>
      <c r="G46" s="42"/>
      <c r="H46" s="28"/>
    </row>
    <row r="47" spans="1:8" s="18" customFormat="1" ht="34.5" customHeight="1" thickBot="1">
      <c r="A47" s="41"/>
      <c r="B47" s="262" t="s">
        <v>34</v>
      </c>
      <c r="C47" s="262"/>
      <c r="D47" s="262"/>
      <c r="E47" s="262"/>
      <c r="F47" s="262"/>
      <c r="G47" s="262"/>
      <c r="H47" s="26"/>
    </row>
    <row r="48" spans="1:8" s="18" customFormat="1" ht="18" customHeight="1" thickBot="1">
      <c r="A48" s="41"/>
      <c r="B48" s="45" t="s">
        <v>19</v>
      </c>
      <c r="C48" s="46"/>
      <c r="D48" s="42" t="s">
        <v>20</v>
      </c>
      <c r="E48" s="57"/>
      <c r="H48" s="26"/>
    </row>
    <row r="49" spans="1:8" s="18" customFormat="1" ht="21" customHeight="1">
      <c r="A49" s="41"/>
      <c r="B49" s="47" t="s">
        <v>21</v>
      </c>
      <c r="C49" s="47"/>
      <c r="D49" s="47"/>
      <c r="E49" s="48"/>
      <c r="F49" s="47"/>
      <c r="G49" s="42"/>
      <c r="H49" s="26"/>
    </row>
    <row r="50" spans="1:8" s="18" customFormat="1" ht="15.75" customHeight="1">
      <c r="A50" s="41"/>
      <c r="B50" s="49"/>
      <c r="C50" s="50"/>
      <c r="D50" s="51"/>
      <c r="E50" s="52"/>
      <c r="F50" s="50"/>
      <c r="G50" s="42"/>
      <c r="H50" s="26"/>
    </row>
    <row r="51" spans="1:8" s="18" customFormat="1" ht="17.25" customHeight="1">
      <c r="A51" s="41"/>
      <c r="B51" s="49"/>
      <c r="C51" s="50"/>
      <c r="D51" s="50"/>
      <c r="E51" s="52"/>
      <c r="F51" s="50"/>
      <c r="G51" s="42"/>
      <c r="H51" s="26"/>
    </row>
    <row r="52" spans="1:8" s="18" customFormat="1" ht="21" customHeight="1">
      <c r="A52" s="41" t="s">
        <v>22</v>
      </c>
      <c r="B52" s="263" t="s">
        <v>62</v>
      </c>
      <c r="C52" s="263"/>
      <c r="D52" s="263"/>
      <c r="E52" s="42"/>
      <c r="F52" s="53"/>
      <c r="G52" s="42"/>
      <c r="H52" s="26"/>
    </row>
    <row r="53" spans="1:8" s="18" customFormat="1" ht="21" customHeight="1">
      <c r="A53" s="41" t="s">
        <v>23</v>
      </c>
      <c r="B53" s="262" t="s">
        <v>30</v>
      </c>
      <c r="C53" s="262"/>
      <c r="D53" s="262"/>
      <c r="E53" s="262"/>
      <c r="F53" s="262"/>
      <c r="G53" s="262"/>
      <c r="H53" s="26"/>
    </row>
    <row r="54" spans="1:8" s="18" customFormat="1" ht="9.75" customHeight="1">
      <c r="A54" s="41"/>
      <c r="B54" s="37"/>
      <c r="E54" s="37"/>
      <c r="F54" s="54"/>
      <c r="G54" s="42"/>
      <c r="H54" s="26"/>
    </row>
    <row r="55" spans="1:8" s="18" customFormat="1" ht="21" customHeight="1">
      <c r="A55" s="41"/>
      <c r="B55" s="66" t="s">
        <v>27</v>
      </c>
      <c r="C55" s="67"/>
      <c r="F55" s="66" t="s">
        <v>28</v>
      </c>
      <c r="G55" s="42"/>
      <c r="H55" s="26"/>
    </row>
    <row r="56" spans="1:8" s="18" customFormat="1" ht="21" customHeight="1">
      <c r="A56" s="41"/>
      <c r="B56" s="20"/>
      <c r="C56" s="68"/>
      <c r="F56" s="69"/>
      <c r="G56" s="42"/>
      <c r="H56" s="26"/>
    </row>
    <row r="57" spans="1:8" s="18" customFormat="1" ht="21" customHeight="1">
      <c r="A57" s="41"/>
      <c r="B57" s="20"/>
      <c r="C57" s="68"/>
      <c r="F57" s="69"/>
      <c r="G57" s="42"/>
      <c r="H57" s="26"/>
    </row>
    <row r="58" spans="1:8" s="18" customFormat="1" ht="21" customHeight="1">
      <c r="A58" s="41"/>
      <c r="B58" s="20"/>
      <c r="C58" s="68"/>
      <c r="F58" s="69"/>
      <c r="G58" s="42"/>
      <c r="H58" s="26"/>
    </row>
    <row r="59" spans="1:8" s="18" customFormat="1" ht="21" customHeight="1">
      <c r="A59" s="41"/>
      <c r="B59" s="125"/>
      <c r="C59" s="68"/>
      <c r="F59" s="70" t="s">
        <v>112</v>
      </c>
      <c r="G59" s="54"/>
      <c r="H59" s="26"/>
    </row>
    <row r="60" spans="1:8" s="18" customFormat="1" ht="16.5">
      <c r="A60" s="25"/>
      <c r="B60" s="28"/>
      <c r="C60" s="35"/>
      <c r="D60" s="59"/>
      <c r="E60" s="59"/>
      <c r="F60" s="35"/>
      <c r="G60" s="25"/>
      <c r="H60" s="26"/>
    </row>
    <row r="61" spans="1:8" s="18" customFormat="1" ht="16.5">
      <c r="A61" s="25"/>
      <c r="B61" s="37"/>
      <c r="C61" s="260"/>
      <c r="D61" s="260"/>
      <c r="F61" s="37"/>
      <c r="G61" s="37"/>
    </row>
    <row r="62" spans="1:8" s="18" customFormat="1" ht="16.5">
      <c r="A62" s="25"/>
      <c r="B62" s="35"/>
      <c r="C62" s="259"/>
      <c r="D62" s="259"/>
      <c r="F62" s="35"/>
      <c r="G62" s="35"/>
    </row>
    <row r="63" spans="1:8" s="18" customFormat="1" ht="16.5">
      <c r="A63" s="25"/>
      <c r="B63" s="60"/>
      <c r="C63" s="60"/>
      <c r="D63" s="58"/>
      <c r="F63" s="60"/>
      <c r="G63" s="28"/>
    </row>
    <row r="64" spans="1:8" s="18" customFormat="1" ht="16.5">
      <c r="A64" s="25"/>
      <c r="B64" s="60"/>
      <c r="C64" s="60"/>
      <c r="D64" s="58"/>
      <c r="F64" s="60"/>
      <c r="G64" s="26"/>
    </row>
    <row r="65" spans="1:9" s="18" customFormat="1" ht="16.5">
      <c r="A65" s="25"/>
      <c r="B65" s="60"/>
      <c r="C65" s="60"/>
      <c r="D65" s="58"/>
      <c r="F65" s="60"/>
      <c r="G65" s="26"/>
    </row>
    <row r="66" spans="1:9" s="18" customFormat="1" ht="16.5">
      <c r="A66" s="25"/>
      <c r="B66" s="60"/>
      <c r="C66" s="60"/>
      <c r="D66" s="58"/>
      <c r="F66" s="60"/>
      <c r="G66" s="26"/>
    </row>
    <row r="67" spans="1:9" s="18" customFormat="1" ht="16.5">
      <c r="A67" s="25"/>
      <c r="B67" s="63"/>
      <c r="C67" s="261"/>
      <c r="D67" s="261"/>
      <c r="F67" s="63"/>
      <c r="G67" s="63"/>
      <c r="I67" s="61"/>
    </row>
    <row r="68" spans="1:9" s="18" customFormat="1" ht="16.5"/>
    <row r="69" spans="1:9" s="18" customFormat="1" ht="16.5"/>
    <row r="70" spans="1:9" s="18" customFormat="1" ht="16.5"/>
    <row r="71" spans="1:9" s="18" customFormat="1" ht="16.5"/>
  </sheetData>
  <mergeCells count="16">
    <mergeCell ref="A1:G1"/>
    <mergeCell ref="B47:G47"/>
    <mergeCell ref="B21:G21"/>
    <mergeCell ref="A7:C7"/>
    <mergeCell ref="B20:D20"/>
    <mergeCell ref="A8:F8"/>
    <mergeCell ref="A15:C15"/>
    <mergeCell ref="A9:C9"/>
    <mergeCell ref="A14:F14"/>
    <mergeCell ref="B22:G22"/>
    <mergeCell ref="C62:D62"/>
    <mergeCell ref="C61:D61"/>
    <mergeCell ref="C67:D67"/>
    <mergeCell ref="B46:C46"/>
    <mergeCell ref="B53:G53"/>
    <mergeCell ref="B52:D52"/>
  </mergeCells>
  <pageMargins left="0.23622047244094491" right="0.23622047244094491" top="0.23622047244094491" bottom="0.23622047244094491" header="0.31496062992125984" footer="0.31496062992125984"/>
  <pageSetup paperSize="9" scale="74" orientation="portrait" verticalDpi="0" r:id="rId1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O64"/>
  <sheetViews>
    <sheetView topLeftCell="A5" zoomScaleNormal="100" workbookViewId="0">
      <selection activeCell="F62" sqref="F62"/>
    </sheetView>
  </sheetViews>
  <sheetFormatPr defaultColWidth="9.140625" defaultRowHeight="12.75"/>
  <cols>
    <col min="1" max="1" width="8.42578125" style="14" customWidth="1"/>
    <col min="2" max="2" width="52.140625" style="12" customWidth="1"/>
    <col min="3" max="3" width="8.140625" style="15" customWidth="1"/>
    <col min="4" max="4" width="14.85546875" style="15" customWidth="1"/>
    <col min="5" max="5" width="13.85546875" style="17" customWidth="1"/>
    <col min="6" max="6" width="15.85546875" style="17" bestFit="1" customWidth="1"/>
    <col min="7" max="7" width="12.42578125" style="17" customWidth="1"/>
    <col min="8" max="8" width="15.85546875" style="17" bestFit="1" customWidth="1"/>
    <col min="9" max="9" width="19.140625" style="13" customWidth="1"/>
    <col min="10" max="16384" width="9.140625" style="12"/>
  </cols>
  <sheetData>
    <row r="1" spans="1:11" ht="25.5">
      <c r="A1" s="264" t="s">
        <v>91</v>
      </c>
      <c r="B1" s="264"/>
      <c r="C1" s="264"/>
      <c r="D1" s="264"/>
      <c r="E1" s="264"/>
      <c r="F1" s="264"/>
      <c r="G1" s="264"/>
      <c r="H1" s="264"/>
      <c r="I1" s="264"/>
      <c r="J1" s="64"/>
      <c r="K1" s="64"/>
    </row>
    <row r="2" spans="1:11" s="20" customFormat="1" ht="16.5">
      <c r="A2" s="65" t="str">
        <f>Bia!B4</f>
        <v>Công trình:  XYZ</v>
      </c>
      <c r="H2" s="79" t="str">
        <f>Bia!B5</f>
        <v xml:space="preserve">Mã số CT: </v>
      </c>
    </row>
    <row r="3" spans="1:11" s="20" customFormat="1" ht="16.5">
      <c r="A3" s="79" t="str">
        <f>Bia!B8</f>
        <v>Địa chỉ:</v>
      </c>
      <c r="H3" s="79" t="s">
        <v>122</v>
      </c>
    </row>
    <row r="4" spans="1:11" s="20" customFormat="1" ht="16.5">
      <c r="A4" s="65" t="str">
        <f>Bia!B6</f>
        <v xml:space="preserve">Công việc: </v>
      </c>
      <c r="E4" s="80"/>
      <c r="F4" s="80"/>
      <c r="G4" s="80"/>
      <c r="H4" s="80"/>
      <c r="I4" s="81"/>
    </row>
    <row r="5" spans="1:11" s="20" customFormat="1" ht="16.5">
      <c r="A5" s="68"/>
      <c r="B5" s="82" t="s">
        <v>5</v>
      </c>
      <c r="C5" s="83"/>
      <c r="D5" s="83"/>
      <c r="E5" s="84"/>
      <c r="F5" s="84"/>
      <c r="G5" s="84"/>
      <c r="H5" s="84"/>
      <c r="I5" s="80"/>
    </row>
    <row r="6" spans="1:11" s="22" customFormat="1" ht="16.5">
      <c r="A6" s="68" t="s">
        <v>10</v>
      </c>
      <c r="B6" s="85" t="str">
        <f>Bia!B18</f>
        <v xml:space="preserve">Bên A: </v>
      </c>
      <c r="C6" s="85"/>
      <c r="D6" s="85"/>
      <c r="E6" s="85"/>
      <c r="F6" s="85"/>
      <c r="G6" s="85"/>
      <c r="H6" s="85"/>
      <c r="I6" s="86"/>
    </row>
    <row r="7" spans="1:11" s="20" customFormat="1" ht="16.5">
      <c r="A7" s="68"/>
      <c r="B7" s="257" t="str">
        <f>Bia!B19</f>
        <v>Đại diện bởi .</v>
      </c>
      <c r="C7" s="257"/>
      <c r="D7" s="257"/>
      <c r="E7" s="257"/>
      <c r="F7" s="257"/>
      <c r="G7" s="257"/>
      <c r="H7" s="257"/>
      <c r="I7" s="257"/>
    </row>
    <row r="8" spans="1:11" s="20" customFormat="1" ht="16.5">
      <c r="A8" s="68"/>
      <c r="B8" s="88" t="str">
        <f>Bia!B20</f>
        <v>Chức vụ: .</v>
      </c>
      <c r="C8" s="89"/>
      <c r="D8" s="89"/>
      <c r="I8" s="90"/>
    </row>
    <row r="9" spans="1:11" s="22" customFormat="1" ht="16.5">
      <c r="A9" s="87"/>
      <c r="B9" s="20" t="str">
        <f>Bia!B21</f>
        <v xml:space="preserve">Địa chỉ:  </v>
      </c>
      <c r="C9" s="91"/>
      <c r="D9" s="91"/>
      <c r="E9" s="91"/>
      <c r="F9" s="91"/>
      <c r="G9" s="91"/>
      <c r="H9" s="91"/>
      <c r="I9" s="92"/>
    </row>
    <row r="10" spans="1:11" s="22" customFormat="1" ht="16.5">
      <c r="A10" s="87"/>
      <c r="B10" s="22" t="str">
        <f>Bia!B22</f>
        <v>Mã số thuế: .</v>
      </c>
      <c r="I10" s="93"/>
    </row>
    <row r="11" spans="1:11" s="22" customFormat="1" ht="16.5">
      <c r="A11" s="87"/>
      <c r="B11" s="91" t="str">
        <f>Bia!B23</f>
        <v>Điện thoại: …...........</v>
      </c>
      <c r="C11" s="94"/>
      <c r="D11" s="94"/>
      <c r="E11" s="94"/>
      <c r="F11" s="94"/>
      <c r="G11" s="94"/>
      <c r="H11" s="94"/>
      <c r="I11" s="95"/>
    </row>
    <row r="12" spans="1:11" s="22" customFormat="1" ht="16.5">
      <c r="A12" s="87"/>
      <c r="B12" s="256" t="str">
        <f>Bia!B24</f>
        <v>Fax: ………………..</v>
      </c>
      <c r="C12" s="256"/>
      <c r="D12" s="256"/>
      <c r="E12" s="256"/>
      <c r="F12" s="256"/>
      <c r="G12" s="256"/>
      <c r="H12" s="256"/>
      <c r="I12" s="256"/>
    </row>
    <row r="13" spans="1:11" s="22" customFormat="1" ht="10.5" customHeight="1">
      <c r="A13" s="87"/>
      <c r="I13" s="96"/>
    </row>
    <row r="14" spans="1:11" s="22" customFormat="1" ht="16.5">
      <c r="A14" s="87"/>
      <c r="B14" s="65" t="str">
        <f>Bia!B9</f>
        <v>Bên B: CÔNG TY TNHH THƯƠNG MẠI DỊCH VỤ Ý ÂN</v>
      </c>
      <c r="I14" s="96"/>
    </row>
    <row r="15" spans="1:11" s="22" customFormat="1" ht="16.5">
      <c r="A15" s="87"/>
      <c r="B15" s="97" t="str">
        <f>Bia!B10</f>
        <v>Đại diện bởi Bà: Trần Phạm Ngọc Trân</v>
      </c>
      <c r="I15" s="96"/>
    </row>
    <row r="16" spans="1:11" s="22" customFormat="1" ht="16.5">
      <c r="A16" s="87"/>
      <c r="B16" s="97" t="str">
        <f>Bia!B11</f>
        <v>Chức vụ: Phó Giám đốc</v>
      </c>
      <c r="I16" s="96"/>
    </row>
    <row r="17" spans="1:15" s="22" customFormat="1" ht="16.5">
      <c r="A17" s="87"/>
      <c r="B17" s="97" t="str">
        <f>Bia!B12</f>
        <v>Địa chỉ: 256/41 Nguyễn Tiểu La, Phường Diên Hồng, TP.HCM</v>
      </c>
      <c r="I17" s="96"/>
    </row>
    <row r="18" spans="1:15" s="22" customFormat="1" ht="16.5">
      <c r="A18" s="87"/>
      <c r="B18" s="97" t="str">
        <f>Bia!B13</f>
        <v>Mã số thuế: 0319016318</v>
      </c>
      <c r="I18" s="96"/>
    </row>
    <row r="19" spans="1:15" s="22" customFormat="1" ht="16.5">
      <c r="A19" s="87"/>
      <c r="B19" s="97" t="str">
        <f>Bia!B14</f>
        <v>Điện thoại: 0975460430</v>
      </c>
      <c r="I19" s="96"/>
    </row>
    <row r="20" spans="1:15" s="21" customFormat="1" ht="11.25" customHeight="1">
      <c r="A20" s="87"/>
      <c r="B20" s="22"/>
      <c r="C20" s="68"/>
      <c r="D20" s="68"/>
      <c r="E20" s="98"/>
      <c r="F20" s="98"/>
      <c r="G20" s="98"/>
      <c r="H20" s="98"/>
      <c r="I20" s="69"/>
    </row>
    <row r="21" spans="1:15" s="21" customFormat="1" ht="16.5">
      <c r="A21" s="99" t="s">
        <v>1</v>
      </c>
      <c r="B21" s="100" t="s">
        <v>49</v>
      </c>
      <c r="C21" s="101"/>
      <c r="D21" s="101"/>
      <c r="E21" s="102"/>
      <c r="F21" s="102"/>
      <c r="G21" s="102"/>
      <c r="H21" s="102"/>
      <c r="I21" s="103"/>
    </row>
    <row r="22" spans="1:15" s="21" customFormat="1" ht="16.5">
      <c r="B22" s="257" t="s">
        <v>50</v>
      </c>
      <c r="C22" s="257"/>
      <c r="D22" s="257"/>
      <c r="E22" s="257"/>
      <c r="F22" s="257"/>
      <c r="G22" s="257"/>
      <c r="H22" s="257"/>
      <c r="I22" s="257"/>
    </row>
    <row r="23" spans="1:15" s="21" customFormat="1" ht="16.5">
      <c r="B23" s="101"/>
      <c r="C23" s="101"/>
      <c r="D23" s="101"/>
      <c r="E23" s="101"/>
      <c r="F23" s="101"/>
      <c r="G23" s="101"/>
      <c r="H23" s="101"/>
      <c r="I23" s="101"/>
    </row>
    <row r="24" spans="1:15" s="21" customFormat="1" ht="49.5">
      <c r="A24" s="76" t="s">
        <v>14</v>
      </c>
      <c r="B24" s="76" t="s">
        <v>4</v>
      </c>
      <c r="C24" s="76" t="s">
        <v>0</v>
      </c>
      <c r="D24" s="76" t="s">
        <v>51</v>
      </c>
      <c r="E24" s="104" t="s">
        <v>52</v>
      </c>
      <c r="F24" s="104" t="s">
        <v>53</v>
      </c>
      <c r="G24" s="78" t="s">
        <v>54</v>
      </c>
      <c r="H24" s="77" t="s">
        <v>55</v>
      </c>
      <c r="I24" s="77" t="s">
        <v>6</v>
      </c>
      <c r="J24" s="89"/>
      <c r="K24" s="89"/>
      <c r="L24" s="89"/>
      <c r="M24" s="89"/>
      <c r="N24" s="89"/>
      <c r="O24" s="22"/>
    </row>
    <row r="25" spans="1:15" s="124" customFormat="1" ht="21.75" customHeight="1">
      <c r="A25" s="162" t="s">
        <v>40</v>
      </c>
      <c r="B25" s="197" t="s">
        <v>75</v>
      </c>
      <c r="C25" s="164"/>
      <c r="D25" s="166"/>
      <c r="E25" s="165"/>
      <c r="F25" s="105"/>
      <c r="G25" s="165"/>
      <c r="H25" s="121"/>
      <c r="I25" s="122"/>
      <c r="J25" s="120"/>
      <c r="K25" s="120"/>
      <c r="L25" s="120"/>
      <c r="M25" s="120"/>
      <c r="N25" s="120"/>
      <c r="O25" s="123"/>
    </row>
    <row r="26" spans="1:15" s="21" customFormat="1" ht="21.75" customHeight="1">
      <c r="A26" s="168" t="s">
        <v>82</v>
      </c>
      <c r="B26" s="169" t="s">
        <v>41</v>
      </c>
      <c r="C26" s="168" t="s">
        <v>42</v>
      </c>
      <c r="D26" s="171"/>
      <c r="E26" s="170"/>
      <c r="F26" s="105"/>
      <c r="G26" s="170"/>
      <c r="H26" s="105"/>
      <c r="I26" s="173"/>
      <c r="J26" s="89"/>
      <c r="K26" s="89"/>
      <c r="L26" s="89"/>
      <c r="M26" s="89"/>
      <c r="N26" s="89"/>
      <c r="O26" s="22"/>
    </row>
    <row r="27" spans="1:15" s="21" customFormat="1" ht="21.75" customHeight="1">
      <c r="A27" s="168" t="s">
        <v>83</v>
      </c>
      <c r="B27" s="169" t="s">
        <v>76</v>
      </c>
      <c r="C27" s="168" t="s">
        <v>63</v>
      </c>
      <c r="D27" s="171"/>
      <c r="E27" s="170"/>
      <c r="F27" s="105">
        <f t="shared" ref="F27:F43" si="0">E27*D27</f>
        <v>0</v>
      </c>
      <c r="G27" s="170"/>
      <c r="H27" s="105">
        <f t="shared" ref="H27:H43" si="1">G27*D27</f>
        <v>0</v>
      </c>
      <c r="I27" s="173"/>
      <c r="J27" s="89"/>
      <c r="K27" s="89"/>
      <c r="L27" s="89"/>
      <c r="M27" s="89"/>
      <c r="N27" s="89"/>
      <c r="O27" s="22"/>
    </row>
    <row r="28" spans="1:15" s="21" customFormat="1" ht="21.75" customHeight="1">
      <c r="A28" s="174" t="s">
        <v>43</v>
      </c>
      <c r="B28" s="175" t="s">
        <v>77</v>
      </c>
      <c r="C28" s="174"/>
      <c r="D28" s="177"/>
      <c r="E28" s="176"/>
      <c r="F28" s="105"/>
      <c r="G28" s="176"/>
      <c r="H28" s="105"/>
      <c r="I28" s="106"/>
      <c r="J28" s="89"/>
      <c r="K28" s="89"/>
      <c r="L28" s="89"/>
      <c r="M28" s="89"/>
      <c r="N28" s="89"/>
      <c r="O28" s="22"/>
    </row>
    <row r="29" spans="1:15" s="21" customFormat="1" ht="21.75" customHeight="1">
      <c r="A29" s="168" t="s">
        <v>84</v>
      </c>
      <c r="B29" s="169" t="s">
        <v>103</v>
      </c>
      <c r="C29" s="168" t="s">
        <v>63</v>
      </c>
      <c r="D29" s="171"/>
      <c r="E29" s="170"/>
      <c r="F29" s="105">
        <f t="shared" si="0"/>
        <v>0</v>
      </c>
      <c r="G29" s="170"/>
      <c r="H29" s="105">
        <f t="shared" si="1"/>
        <v>0</v>
      </c>
      <c r="I29" s="106"/>
      <c r="J29" s="89"/>
      <c r="K29" s="89"/>
      <c r="L29" s="89"/>
      <c r="M29" s="89"/>
      <c r="N29" s="89"/>
      <c r="O29" s="22"/>
    </row>
    <row r="30" spans="1:15" s="21" customFormat="1" ht="21.75" customHeight="1">
      <c r="A30" s="174" t="s">
        <v>44</v>
      </c>
      <c r="B30" s="175" t="s">
        <v>78</v>
      </c>
      <c r="C30" s="174"/>
      <c r="D30" s="177"/>
      <c r="E30" s="176"/>
      <c r="F30" s="105"/>
      <c r="G30" s="176"/>
      <c r="H30" s="105"/>
      <c r="I30" s="106"/>
      <c r="J30" s="135"/>
      <c r="K30" s="135"/>
      <c r="L30" s="135"/>
      <c r="M30" s="135"/>
      <c r="N30" s="135"/>
      <c r="O30" s="22"/>
    </row>
    <row r="31" spans="1:15" s="21" customFormat="1" ht="21.75" customHeight="1">
      <c r="A31" s="168" t="s">
        <v>85</v>
      </c>
      <c r="B31" s="169" t="s">
        <v>104</v>
      </c>
      <c r="C31" s="168" t="s">
        <v>63</v>
      </c>
      <c r="D31" s="171"/>
      <c r="E31" s="170"/>
      <c r="F31" s="105">
        <f t="shared" si="0"/>
        <v>0</v>
      </c>
      <c r="G31" s="170"/>
      <c r="H31" s="105">
        <f t="shared" si="1"/>
        <v>0</v>
      </c>
      <c r="I31" s="106"/>
      <c r="J31" s="135"/>
      <c r="K31" s="135"/>
      <c r="L31" s="135"/>
      <c r="M31" s="135"/>
      <c r="N31" s="135"/>
      <c r="O31" s="22"/>
    </row>
    <row r="32" spans="1:15" s="21" customFormat="1" ht="21.75" customHeight="1">
      <c r="A32" s="168">
        <f>A31+0.1</f>
        <v>3.2</v>
      </c>
      <c r="B32" s="169" t="s">
        <v>105</v>
      </c>
      <c r="C32" s="168" t="s">
        <v>96</v>
      </c>
      <c r="D32" s="171"/>
      <c r="E32" s="170"/>
      <c r="F32" s="105">
        <f t="shared" si="0"/>
        <v>0</v>
      </c>
      <c r="G32" s="170"/>
      <c r="H32" s="105">
        <f t="shared" si="1"/>
        <v>0</v>
      </c>
      <c r="I32" s="106"/>
      <c r="J32" s="135"/>
      <c r="K32" s="135"/>
      <c r="L32" s="135"/>
      <c r="M32" s="135"/>
      <c r="N32" s="135"/>
      <c r="O32" s="22"/>
    </row>
    <row r="33" spans="1:15" s="21" customFormat="1" ht="21.75" customHeight="1">
      <c r="A33" s="168">
        <f>A32+0.1</f>
        <v>3.3000000000000003</v>
      </c>
      <c r="B33" s="169" t="s">
        <v>106</v>
      </c>
      <c r="C33" s="168" t="s">
        <v>42</v>
      </c>
      <c r="D33" s="171"/>
      <c r="E33" s="170"/>
      <c r="F33" s="105">
        <f t="shared" si="0"/>
        <v>0</v>
      </c>
      <c r="G33" s="170"/>
      <c r="H33" s="105">
        <f t="shared" si="1"/>
        <v>0</v>
      </c>
      <c r="I33" s="106"/>
      <c r="J33" s="135"/>
      <c r="K33" s="135"/>
      <c r="L33" s="135"/>
      <c r="M33" s="135"/>
      <c r="N33" s="135"/>
      <c r="O33" s="22"/>
    </row>
    <row r="34" spans="1:15" s="21" customFormat="1" ht="21.75" customHeight="1">
      <c r="A34" s="174" t="s">
        <v>45</v>
      </c>
      <c r="B34" s="175" t="s">
        <v>79</v>
      </c>
      <c r="C34" s="174"/>
      <c r="D34" s="177"/>
      <c r="E34" s="176"/>
      <c r="F34" s="105"/>
      <c r="G34" s="176"/>
      <c r="H34" s="105"/>
      <c r="I34" s="106"/>
      <c r="J34" s="135"/>
      <c r="K34" s="135"/>
      <c r="L34" s="135"/>
      <c r="M34" s="135"/>
      <c r="N34" s="135"/>
      <c r="O34" s="22"/>
    </row>
    <row r="35" spans="1:15" s="21" customFormat="1" ht="21.75" customHeight="1">
      <c r="A35" s="168">
        <v>1</v>
      </c>
      <c r="B35" s="169" t="s">
        <v>97</v>
      </c>
      <c r="C35" s="168" t="s">
        <v>63</v>
      </c>
      <c r="D35" s="171"/>
      <c r="E35" s="170"/>
      <c r="F35" s="105">
        <f t="shared" si="0"/>
        <v>0</v>
      </c>
      <c r="G35" s="170"/>
      <c r="H35" s="105">
        <f t="shared" si="1"/>
        <v>0</v>
      </c>
      <c r="I35" s="106"/>
      <c r="J35" s="135"/>
      <c r="K35" s="135"/>
      <c r="L35" s="135"/>
      <c r="M35" s="135"/>
      <c r="N35" s="135"/>
      <c r="O35" s="22"/>
    </row>
    <row r="36" spans="1:15" s="21" customFormat="1" ht="21.75" customHeight="1">
      <c r="A36" s="168">
        <f t="shared" ref="A36" si="2">A35+0.1</f>
        <v>1.1000000000000001</v>
      </c>
      <c r="B36" s="169" t="s">
        <v>98</v>
      </c>
      <c r="C36" s="168" t="s">
        <v>63</v>
      </c>
      <c r="D36" s="171"/>
      <c r="E36" s="170"/>
      <c r="F36" s="105">
        <f t="shared" si="0"/>
        <v>0</v>
      </c>
      <c r="G36" s="170"/>
      <c r="H36" s="105">
        <f t="shared" si="1"/>
        <v>0</v>
      </c>
      <c r="I36" s="106"/>
      <c r="J36" s="135"/>
      <c r="K36" s="135"/>
      <c r="L36" s="135"/>
      <c r="M36" s="135"/>
      <c r="N36" s="135"/>
      <c r="O36" s="22"/>
    </row>
    <row r="37" spans="1:15" s="21" customFormat="1" ht="21.75" customHeight="1">
      <c r="A37" s="174" t="s">
        <v>64</v>
      </c>
      <c r="B37" s="175" t="s">
        <v>80</v>
      </c>
      <c r="C37" s="174"/>
      <c r="D37" s="177"/>
      <c r="E37" s="176"/>
      <c r="F37" s="105"/>
      <c r="G37" s="176"/>
      <c r="H37" s="105"/>
      <c r="I37" s="106"/>
      <c r="J37" s="89"/>
      <c r="K37" s="89"/>
      <c r="L37" s="89"/>
      <c r="M37" s="89"/>
      <c r="N37" s="89"/>
      <c r="O37" s="22"/>
    </row>
    <row r="38" spans="1:15" s="21" customFormat="1" ht="21.75" customHeight="1">
      <c r="A38" s="168" t="s">
        <v>86</v>
      </c>
      <c r="B38" s="169" t="s">
        <v>107</v>
      </c>
      <c r="C38" s="168" t="s">
        <v>63</v>
      </c>
      <c r="D38" s="171"/>
      <c r="E38" s="170"/>
      <c r="F38" s="105">
        <f t="shared" si="0"/>
        <v>0</v>
      </c>
      <c r="G38" s="170"/>
      <c r="H38" s="105">
        <f t="shared" si="1"/>
        <v>0</v>
      </c>
      <c r="I38" s="106"/>
      <c r="J38" s="89"/>
      <c r="K38" s="89"/>
      <c r="L38" s="89"/>
      <c r="M38" s="89"/>
      <c r="N38" s="89"/>
      <c r="O38" s="22"/>
    </row>
    <row r="39" spans="1:15" s="21" customFormat="1" ht="21.75" customHeight="1">
      <c r="A39" s="174" t="s">
        <v>89</v>
      </c>
      <c r="B39" s="175" t="s">
        <v>81</v>
      </c>
      <c r="C39" s="174"/>
      <c r="D39" s="177"/>
      <c r="E39" s="176"/>
      <c r="F39" s="105"/>
      <c r="G39" s="176"/>
      <c r="H39" s="105"/>
      <c r="I39" s="106"/>
      <c r="J39" s="120"/>
      <c r="K39" s="120"/>
      <c r="L39" s="120"/>
      <c r="M39" s="120"/>
      <c r="N39" s="120"/>
      <c r="O39" s="22"/>
    </row>
    <row r="40" spans="1:15" s="21" customFormat="1" ht="21.75" customHeight="1">
      <c r="A40" s="168" t="s">
        <v>87</v>
      </c>
      <c r="B40" s="169" t="s">
        <v>108</v>
      </c>
      <c r="C40" s="168" t="s">
        <v>109</v>
      </c>
      <c r="D40" s="171"/>
      <c r="E40" s="170"/>
      <c r="F40" s="105">
        <f t="shared" si="0"/>
        <v>0</v>
      </c>
      <c r="G40" s="170"/>
      <c r="H40" s="105">
        <f t="shared" si="1"/>
        <v>0</v>
      </c>
      <c r="I40" s="106"/>
      <c r="J40" s="120"/>
      <c r="K40" s="120"/>
      <c r="L40" s="120"/>
      <c r="M40" s="120"/>
      <c r="N40" s="120"/>
      <c r="O40" s="22"/>
    </row>
    <row r="41" spans="1:15" s="21" customFormat="1" ht="21.75" customHeight="1">
      <c r="A41" s="168" t="s">
        <v>88</v>
      </c>
      <c r="B41" s="169" t="s">
        <v>110</v>
      </c>
      <c r="C41" s="168" t="s">
        <v>109</v>
      </c>
      <c r="D41" s="171"/>
      <c r="E41" s="170"/>
      <c r="F41" s="105">
        <f t="shared" si="0"/>
        <v>0</v>
      </c>
      <c r="G41" s="170"/>
      <c r="H41" s="105">
        <f t="shared" si="1"/>
        <v>0</v>
      </c>
      <c r="I41" s="106"/>
      <c r="J41" s="120"/>
      <c r="K41" s="120"/>
      <c r="L41" s="120"/>
      <c r="M41" s="120"/>
      <c r="N41" s="120"/>
      <c r="O41" s="22"/>
    </row>
    <row r="42" spans="1:15" s="21" customFormat="1" ht="21.75" customHeight="1">
      <c r="A42" s="168" t="s">
        <v>93</v>
      </c>
      <c r="B42" s="169" t="s">
        <v>95</v>
      </c>
      <c r="C42" s="168" t="s">
        <v>109</v>
      </c>
      <c r="D42" s="171"/>
      <c r="E42" s="170"/>
      <c r="F42" s="105">
        <f t="shared" si="0"/>
        <v>0</v>
      </c>
      <c r="G42" s="170"/>
      <c r="H42" s="105">
        <f t="shared" si="1"/>
        <v>0</v>
      </c>
      <c r="I42" s="106"/>
      <c r="J42" s="120"/>
      <c r="K42" s="120"/>
      <c r="L42" s="120"/>
      <c r="M42" s="120"/>
      <c r="N42" s="120"/>
      <c r="O42" s="22"/>
    </row>
    <row r="43" spans="1:15" s="21" customFormat="1" ht="21.75" customHeight="1">
      <c r="A43" s="168" t="s">
        <v>94</v>
      </c>
      <c r="B43" s="169" t="s">
        <v>111</v>
      </c>
      <c r="C43" s="168" t="s">
        <v>42</v>
      </c>
      <c r="D43" s="171"/>
      <c r="E43" s="170"/>
      <c r="F43" s="105">
        <f t="shared" si="0"/>
        <v>0</v>
      </c>
      <c r="G43" s="170"/>
      <c r="H43" s="105">
        <f t="shared" si="1"/>
        <v>0</v>
      </c>
      <c r="I43" s="106"/>
      <c r="J43" s="120"/>
      <c r="K43" s="120"/>
      <c r="L43" s="120"/>
      <c r="M43" s="120"/>
      <c r="N43" s="120"/>
      <c r="O43" s="22"/>
    </row>
    <row r="44" spans="1:15" s="21" customFormat="1" ht="21.75" customHeight="1">
      <c r="A44" s="174" t="s">
        <v>118</v>
      </c>
      <c r="B44" s="175" t="s">
        <v>117</v>
      </c>
      <c r="C44" s="174"/>
      <c r="D44" s="177"/>
      <c r="E44" s="176"/>
      <c r="F44" s="105"/>
      <c r="G44" s="176"/>
      <c r="H44" s="105"/>
      <c r="I44" s="106"/>
      <c r="J44" s="120"/>
      <c r="K44" s="120"/>
      <c r="L44" s="120"/>
      <c r="M44" s="120"/>
      <c r="N44" s="120"/>
      <c r="O44" s="22"/>
    </row>
    <row r="45" spans="1:15" s="21" customFormat="1" ht="42" customHeight="1">
      <c r="A45" s="168">
        <v>7.1</v>
      </c>
      <c r="B45" s="169" t="s">
        <v>119</v>
      </c>
      <c r="C45" s="168" t="s">
        <v>42</v>
      </c>
      <c r="D45" s="171"/>
      <c r="E45" s="170"/>
      <c r="F45" s="105"/>
      <c r="G45" s="170"/>
      <c r="H45" s="105"/>
      <c r="I45" s="106"/>
      <c r="J45" s="120"/>
      <c r="K45" s="120"/>
      <c r="L45" s="120"/>
      <c r="M45" s="120"/>
      <c r="N45" s="120"/>
      <c r="O45" s="22"/>
    </row>
    <row r="46" spans="1:15" s="21" customFormat="1" ht="21.75" customHeight="1">
      <c r="A46" s="254" t="s">
        <v>46</v>
      </c>
      <c r="B46" s="254"/>
      <c r="C46" s="254"/>
      <c r="D46" s="254"/>
      <c r="E46" s="254"/>
      <c r="F46" s="198">
        <f>SUBTOTAL(9,F25:F45)</f>
        <v>0</v>
      </c>
      <c r="G46" s="107"/>
      <c r="H46" s="107">
        <f>SUBTOTAL(9,H25:H45)</f>
        <v>0</v>
      </c>
      <c r="I46" s="108"/>
      <c r="J46" s="89"/>
      <c r="K46" s="89"/>
      <c r="L46" s="89"/>
      <c r="M46" s="89"/>
      <c r="N46" s="89"/>
      <c r="O46" s="22"/>
    </row>
    <row r="47" spans="1:15" s="21" customFormat="1" ht="21.75" customHeight="1">
      <c r="A47" s="254" t="s">
        <v>114</v>
      </c>
      <c r="B47" s="254"/>
      <c r="C47" s="254"/>
      <c r="D47" s="254"/>
      <c r="E47" s="254"/>
      <c r="F47" s="199"/>
      <c r="G47" s="107"/>
      <c r="H47" s="199"/>
      <c r="I47" s="108"/>
      <c r="J47" s="135"/>
      <c r="K47" s="135"/>
      <c r="L47" s="135"/>
      <c r="M47" s="135"/>
      <c r="N47" s="135"/>
      <c r="O47" s="22"/>
    </row>
    <row r="48" spans="1:15" s="21" customFormat="1" ht="21.75" customHeight="1">
      <c r="A48" s="254" t="s">
        <v>115</v>
      </c>
      <c r="B48" s="254"/>
      <c r="C48" s="254"/>
      <c r="D48" s="254"/>
      <c r="E48" s="254"/>
      <c r="F48" s="198">
        <f>F46-F47</f>
        <v>0</v>
      </c>
      <c r="G48" s="107"/>
      <c r="H48" s="107">
        <f>H46-H47</f>
        <v>0</v>
      </c>
      <c r="I48" s="108"/>
      <c r="J48" s="135"/>
      <c r="K48" s="135"/>
      <c r="L48" s="135"/>
      <c r="M48" s="135"/>
      <c r="N48" s="135"/>
      <c r="O48" s="22"/>
    </row>
    <row r="49" spans="1:15" s="21" customFormat="1" ht="21.75" customHeight="1">
      <c r="A49" s="254" t="s">
        <v>73</v>
      </c>
      <c r="B49" s="254"/>
      <c r="C49" s="254"/>
      <c r="D49" s="254"/>
      <c r="E49" s="254"/>
      <c r="F49" s="107">
        <f>F48*8%</f>
        <v>0</v>
      </c>
      <c r="G49" s="107"/>
      <c r="H49" s="107">
        <f>H48*8%</f>
        <v>0</v>
      </c>
      <c r="I49" s="108"/>
      <c r="J49" s="135"/>
      <c r="K49" s="135"/>
      <c r="L49" s="135"/>
      <c r="M49" s="135"/>
      <c r="N49" s="135"/>
      <c r="O49" s="22"/>
    </row>
    <row r="50" spans="1:15" s="21" customFormat="1" ht="21.75" customHeight="1">
      <c r="A50" s="254" t="s">
        <v>74</v>
      </c>
      <c r="B50" s="254"/>
      <c r="C50" s="254"/>
      <c r="D50" s="254"/>
      <c r="E50" s="254"/>
      <c r="F50" s="107">
        <f>F48+F49</f>
        <v>0</v>
      </c>
      <c r="G50" s="107"/>
      <c r="H50" s="107">
        <f>H48+H49</f>
        <v>0</v>
      </c>
      <c r="I50" s="108"/>
      <c r="J50" s="89"/>
      <c r="K50" s="89"/>
      <c r="L50" s="89"/>
      <c r="M50" s="89"/>
      <c r="N50" s="89"/>
      <c r="O50" s="22"/>
    </row>
    <row r="51" spans="1:15" s="21" customFormat="1" ht="11.25" customHeight="1">
      <c r="A51" s="251"/>
      <c r="B51" s="251"/>
      <c r="C51" s="75"/>
      <c r="D51" s="75"/>
      <c r="E51" s="75"/>
      <c r="F51" s="75"/>
      <c r="G51" s="75"/>
      <c r="H51" s="75"/>
      <c r="I51" s="109"/>
      <c r="J51" s="110"/>
    </row>
    <row r="52" spans="1:15" s="21" customFormat="1" ht="16.5">
      <c r="A52" s="251" t="s">
        <v>56</v>
      </c>
      <c r="B52" s="251"/>
      <c r="C52" s="251"/>
      <c r="D52" s="251"/>
      <c r="E52" s="251"/>
      <c r="F52" s="251"/>
      <c r="G52" s="251"/>
      <c r="H52" s="251"/>
      <c r="I52" s="251"/>
      <c r="J52" s="110"/>
    </row>
    <row r="53" spans="1:15" s="21" customFormat="1" ht="44.25" customHeight="1">
      <c r="A53" s="272" t="s">
        <v>187</v>
      </c>
      <c r="B53" s="272"/>
      <c r="C53" s="272"/>
      <c r="D53" s="272"/>
      <c r="E53" s="272"/>
      <c r="F53" s="272"/>
      <c r="G53" s="272"/>
      <c r="H53" s="272"/>
      <c r="I53" s="272"/>
      <c r="J53" s="111"/>
    </row>
    <row r="54" spans="1:15" s="21" customFormat="1" ht="16.5">
      <c r="A54" s="251" t="s">
        <v>57</v>
      </c>
      <c r="B54" s="251"/>
      <c r="C54" s="251"/>
      <c r="D54" s="251"/>
      <c r="E54" s="251"/>
      <c r="F54" s="67"/>
      <c r="G54" s="67"/>
      <c r="H54" s="67"/>
      <c r="I54" s="109"/>
      <c r="J54" s="110"/>
    </row>
    <row r="55" spans="1:15" s="22" customFormat="1" ht="16.5">
      <c r="A55" s="94" t="s">
        <v>58</v>
      </c>
      <c r="B55" s="20"/>
      <c r="C55" s="112"/>
      <c r="D55" s="112"/>
      <c r="E55" s="113"/>
      <c r="F55" s="113"/>
      <c r="G55" s="113"/>
      <c r="H55" s="113"/>
      <c r="I55" s="114"/>
    </row>
    <row r="56" spans="1:15" s="22" customFormat="1" ht="16.5">
      <c r="A56" s="262"/>
      <c r="B56" s="262"/>
      <c r="C56" s="262"/>
      <c r="D56" s="262"/>
      <c r="E56" s="262"/>
      <c r="F56" s="262"/>
      <c r="G56" s="262"/>
      <c r="H56" s="262"/>
      <c r="I56" s="262"/>
    </row>
    <row r="57" spans="1:15" s="22" customFormat="1" ht="16.5">
      <c r="A57" s="87"/>
      <c r="B57" s="115" t="s">
        <v>59</v>
      </c>
      <c r="C57" s="28"/>
      <c r="D57" s="28"/>
      <c r="E57" s="28"/>
      <c r="F57" s="270" t="s">
        <v>92</v>
      </c>
      <c r="G57" s="270"/>
      <c r="H57" s="270"/>
      <c r="I57" s="270"/>
    </row>
    <row r="58" spans="1:15" s="22" customFormat="1" ht="16.5">
      <c r="A58" s="87"/>
      <c r="B58" s="60" t="s">
        <v>3</v>
      </c>
      <c r="C58" s="28"/>
      <c r="D58" s="28"/>
      <c r="E58" s="28"/>
      <c r="F58" s="271" t="s">
        <v>3</v>
      </c>
      <c r="G58" s="271"/>
      <c r="H58" s="271"/>
      <c r="I58" s="271"/>
    </row>
    <row r="59" spans="1:15" s="22" customFormat="1" ht="16.5">
      <c r="A59" s="28"/>
      <c r="B59" s="116"/>
      <c r="C59" s="35"/>
      <c r="D59" s="35"/>
      <c r="E59" s="28"/>
      <c r="F59" s="28"/>
      <c r="G59" s="116"/>
      <c r="H59" s="28"/>
    </row>
    <row r="60" spans="1:15" s="22" customFormat="1" ht="16.5">
      <c r="A60" s="28"/>
      <c r="B60" s="116"/>
      <c r="C60" s="35"/>
      <c r="D60" s="35"/>
      <c r="E60" s="28"/>
      <c r="F60" s="28"/>
      <c r="G60" s="116"/>
      <c r="H60" s="28"/>
    </row>
    <row r="61" spans="1:15" s="22" customFormat="1" ht="16.5">
      <c r="A61" s="28"/>
      <c r="B61" s="116"/>
      <c r="C61" s="35"/>
      <c r="D61" s="35"/>
      <c r="E61" s="28"/>
      <c r="F61" s="28"/>
      <c r="G61" s="116"/>
      <c r="H61" s="28"/>
    </row>
    <row r="62" spans="1:15" s="22" customFormat="1" ht="16.5">
      <c r="A62" s="117"/>
      <c r="B62" s="116"/>
      <c r="C62" s="35"/>
      <c r="D62" s="35"/>
      <c r="E62" s="117"/>
      <c r="F62" s="117"/>
      <c r="G62" s="116"/>
      <c r="H62" s="117"/>
    </row>
    <row r="63" spans="1:15" s="22" customFormat="1" ht="16.5">
      <c r="A63" s="117"/>
      <c r="B63" s="115"/>
      <c r="C63" s="35"/>
      <c r="D63" s="35"/>
      <c r="E63" s="117"/>
      <c r="F63" s="117"/>
      <c r="G63" s="115"/>
      <c r="H63" s="117"/>
    </row>
    <row r="64" spans="1:15" s="22" customFormat="1" ht="16.5">
      <c r="A64" s="87"/>
      <c r="B64" s="125"/>
      <c r="C64" s="68"/>
      <c r="D64" s="68"/>
      <c r="E64" s="98"/>
      <c r="F64" s="261" t="s">
        <v>112</v>
      </c>
      <c r="G64" s="261"/>
      <c r="H64" s="261"/>
      <c r="I64" s="261"/>
    </row>
  </sheetData>
  <mergeCells count="17">
    <mergeCell ref="A47:E47"/>
    <mergeCell ref="A1:I1"/>
    <mergeCell ref="B7:I7"/>
    <mergeCell ref="B12:I12"/>
    <mergeCell ref="B22:I22"/>
    <mergeCell ref="A46:E46"/>
    <mergeCell ref="A48:E48"/>
    <mergeCell ref="A49:E49"/>
    <mergeCell ref="F64:I64"/>
    <mergeCell ref="F57:I57"/>
    <mergeCell ref="F58:I58"/>
    <mergeCell ref="A56:I56"/>
    <mergeCell ref="A50:E50"/>
    <mergeCell ref="A51:B51"/>
    <mergeCell ref="A52:I52"/>
    <mergeCell ref="A53:I53"/>
    <mergeCell ref="A54:E54"/>
  </mergeCells>
  <pageMargins left="0.23622047244094491" right="0.19685039370078741" top="0.11811023622047245" bottom="0.11811023622047245" header="0.31496062992125984" footer="0.31496062992125984"/>
  <pageSetup scale="61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2:I31"/>
  <sheetViews>
    <sheetView tabSelected="1" view="pageBreakPreview" zoomScale="115" zoomScaleNormal="85" zoomScaleSheetLayoutView="115" workbookViewId="0">
      <selection activeCell="H20" sqref="H20"/>
    </sheetView>
  </sheetViews>
  <sheetFormatPr defaultRowHeight="12.75"/>
  <cols>
    <col min="1" max="1" width="4" customWidth="1"/>
    <col min="2" max="2" width="12" customWidth="1"/>
    <col min="3" max="3" width="79" customWidth="1"/>
    <col min="258" max="258" width="109" bestFit="1" customWidth="1"/>
    <col min="514" max="514" width="109" bestFit="1" customWidth="1"/>
    <col min="770" max="770" width="109" bestFit="1" customWidth="1"/>
    <col min="1026" max="1026" width="109" bestFit="1" customWidth="1"/>
    <col min="1282" max="1282" width="109" bestFit="1" customWidth="1"/>
    <col min="1538" max="1538" width="109" bestFit="1" customWidth="1"/>
    <col min="1794" max="1794" width="109" bestFit="1" customWidth="1"/>
    <col min="2050" max="2050" width="109" bestFit="1" customWidth="1"/>
    <col min="2306" max="2306" width="109" bestFit="1" customWidth="1"/>
    <col min="2562" max="2562" width="109" bestFit="1" customWidth="1"/>
    <col min="2818" max="2818" width="109" bestFit="1" customWidth="1"/>
    <col min="3074" max="3074" width="109" bestFit="1" customWidth="1"/>
    <col min="3330" max="3330" width="109" bestFit="1" customWidth="1"/>
    <col min="3586" max="3586" width="109" bestFit="1" customWidth="1"/>
    <col min="3842" max="3842" width="109" bestFit="1" customWidth="1"/>
    <col min="4098" max="4098" width="109" bestFit="1" customWidth="1"/>
    <col min="4354" max="4354" width="109" bestFit="1" customWidth="1"/>
    <col min="4610" max="4610" width="109" bestFit="1" customWidth="1"/>
    <col min="4866" max="4866" width="109" bestFit="1" customWidth="1"/>
    <col min="5122" max="5122" width="109" bestFit="1" customWidth="1"/>
    <col min="5378" max="5378" width="109" bestFit="1" customWidth="1"/>
    <col min="5634" max="5634" width="109" bestFit="1" customWidth="1"/>
    <col min="5890" max="5890" width="109" bestFit="1" customWidth="1"/>
    <col min="6146" max="6146" width="109" bestFit="1" customWidth="1"/>
    <col min="6402" max="6402" width="109" bestFit="1" customWidth="1"/>
    <col min="6658" max="6658" width="109" bestFit="1" customWidth="1"/>
    <col min="6914" max="6914" width="109" bestFit="1" customWidth="1"/>
    <col min="7170" max="7170" width="109" bestFit="1" customWidth="1"/>
    <col min="7426" max="7426" width="109" bestFit="1" customWidth="1"/>
    <col min="7682" max="7682" width="109" bestFit="1" customWidth="1"/>
    <col min="7938" max="7938" width="109" bestFit="1" customWidth="1"/>
    <col min="8194" max="8194" width="109" bestFit="1" customWidth="1"/>
    <col min="8450" max="8450" width="109" bestFit="1" customWidth="1"/>
    <col min="8706" max="8706" width="109" bestFit="1" customWidth="1"/>
    <col min="8962" max="8962" width="109" bestFit="1" customWidth="1"/>
    <col min="9218" max="9218" width="109" bestFit="1" customWidth="1"/>
    <col min="9474" max="9474" width="109" bestFit="1" customWidth="1"/>
    <col min="9730" max="9730" width="109" bestFit="1" customWidth="1"/>
    <col min="9986" max="9986" width="109" bestFit="1" customWidth="1"/>
    <col min="10242" max="10242" width="109" bestFit="1" customWidth="1"/>
    <col min="10498" max="10498" width="109" bestFit="1" customWidth="1"/>
    <col min="10754" max="10754" width="109" bestFit="1" customWidth="1"/>
    <col min="11010" max="11010" width="109" bestFit="1" customWidth="1"/>
    <col min="11266" max="11266" width="109" bestFit="1" customWidth="1"/>
    <col min="11522" max="11522" width="109" bestFit="1" customWidth="1"/>
    <col min="11778" max="11778" width="109" bestFit="1" customWidth="1"/>
    <col min="12034" max="12034" width="109" bestFit="1" customWidth="1"/>
    <col min="12290" max="12290" width="109" bestFit="1" customWidth="1"/>
    <col min="12546" max="12546" width="109" bestFit="1" customWidth="1"/>
    <col min="12802" max="12802" width="109" bestFit="1" customWidth="1"/>
    <col min="13058" max="13058" width="109" bestFit="1" customWidth="1"/>
    <col min="13314" max="13314" width="109" bestFit="1" customWidth="1"/>
    <col min="13570" max="13570" width="109" bestFit="1" customWidth="1"/>
    <col min="13826" max="13826" width="109" bestFit="1" customWidth="1"/>
    <col min="14082" max="14082" width="109" bestFit="1" customWidth="1"/>
    <col min="14338" max="14338" width="109" bestFit="1" customWidth="1"/>
    <col min="14594" max="14594" width="109" bestFit="1" customWidth="1"/>
    <col min="14850" max="14850" width="109" bestFit="1" customWidth="1"/>
    <col min="15106" max="15106" width="109" bestFit="1" customWidth="1"/>
    <col min="15362" max="15362" width="109" bestFit="1" customWidth="1"/>
    <col min="15618" max="15618" width="109" bestFit="1" customWidth="1"/>
    <col min="15874" max="15874" width="109" bestFit="1" customWidth="1"/>
    <col min="16130" max="16130" width="109" bestFit="1" customWidth="1"/>
  </cols>
  <sheetData>
    <row r="2" spans="1:9" ht="15.75">
      <c r="A2" s="294" t="s">
        <v>155</v>
      </c>
      <c r="B2" s="294"/>
      <c r="C2" s="294"/>
      <c r="D2" s="214"/>
    </row>
    <row r="3" spans="1:9" ht="15.75">
      <c r="A3" s="294" t="s">
        <v>156</v>
      </c>
      <c r="B3" s="294"/>
      <c r="C3" s="294"/>
      <c r="D3" s="214"/>
    </row>
    <row r="4" spans="1:9" ht="16.5">
      <c r="A4" s="260" t="s">
        <v>157</v>
      </c>
      <c r="B4" s="260"/>
      <c r="C4" s="260"/>
      <c r="D4" s="244"/>
    </row>
    <row r="5" spans="1:9" ht="16.5">
      <c r="B5" s="296" t="s">
        <v>193</v>
      </c>
      <c r="C5" s="296"/>
    </row>
    <row r="6" spans="1:9" ht="16.5">
      <c r="B6" s="28"/>
    </row>
    <row r="7" spans="1:9" s="242" customFormat="1" ht="25.5">
      <c r="B7" s="295" t="s">
        <v>158</v>
      </c>
      <c r="C7" s="295"/>
      <c r="D7" s="295"/>
    </row>
    <row r="8" spans="1:9" ht="19.5">
      <c r="B8" s="243"/>
    </row>
    <row r="9" spans="1:9" ht="21" customHeight="1">
      <c r="B9" s="244" t="s">
        <v>184</v>
      </c>
      <c r="C9" t="str">
        <f>Bia!C18</f>
        <v>ABC</v>
      </c>
    </row>
    <row r="10" spans="1:9" ht="54.75" customHeight="1">
      <c r="B10" s="245" t="s">
        <v>185</v>
      </c>
      <c r="C10">
        <f>Bia!C21</f>
        <v>0</v>
      </c>
    </row>
    <row r="11" spans="1:9" ht="21" customHeight="1">
      <c r="B11" s="28" t="s">
        <v>186</v>
      </c>
      <c r="C11">
        <f>Bia!C4</f>
        <v>0</v>
      </c>
    </row>
    <row r="12" spans="1:9" ht="21" customHeight="1">
      <c r="B12" s="28" t="s">
        <v>159</v>
      </c>
      <c r="C12">
        <f>Bia!C6</f>
        <v>0</v>
      </c>
      <c r="E12" s="19"/>
      <c r="F12" s="19"/>
      <c r="G12" s="19"/>
      <c r="H12" s="19"/>
    </row>
    <row r="13" spans="1:9" ht="21" customHeight="1">
      <c r="B13" s="28" t="s">
        <v>160</v>
      </c>
      <c r="E13" s="273"/>
      <c r="F13" s="273"/>
      <c r="G13" s="273"/>
      <c r="H13" s="273"/>
    </row>
    <row r="14" spans="1:9" ht="21" customHeight="1">
      <c r="B14" s="28" t="s">
        <v>161</v>
      </c>
      <c r="E14" s="214"/>
      <c r="F14" s="129"/>
      <c r="G14" s="3"/>
      <c r="H14" s="8"/>
    </row>
    <row r="15" spans="1:9" ht="21" customHeight="1">
      <c r="B15" s="28" t="s">
        <v>162</v>
      </c>
      <c r="E15" s="215"/>
      <c r="F15" s="216"/>
      <c r="G15" s="216"/>
      <c r="H15" s="216"/>
    </row>
    <row r="16" spans="1:9" ht="24" customHeight="1">
      <c r="B16" s="28" t="s">
        <v>191</v>
      </c>
      <c r="D16" s="245"/>
      <c r="E16" s="7"/>
      <c r="F16" s="1"/>
      <c r="G16" s="1"/>
      <c r="H16" s="1"/>
      <c r="I16" s="245"/>
    </row>
    <row r="17" spans="2:9" ht="24" customHeight="1">
      <c r="B17" s="28" t="s">
        <v>192</v>
      </c>
      <c r="D17" s="245"/>
      <c r="E17" s="7"/>
      <c r="F17" s="1"/>
      <c r="G17" s="1"/>
      <c r="H17" s="1"/>
      <c r="I17" s="245"/>
    </row>
    <row r="18" spans="2:9" ht="21" customHeight="1">
      <c r="B18" s="28" t="s">
        <v>163</v>
      </c>
      <c r="D18" s="246"/>
      <c r="E18" s="11"/>
      <c r="I18" s="247"/>
    </row>
    <row r="19" spans="2:9" ht="21" customHeight="1">
      <c r="B19" s="28" t="s">
        <v>164</v>
      </c>
      <c r="D19" s="246"/>
      <c r="E19" s="8"/>
      <c r="F19" s="8"/>
      <c r="G19" s="8"/>
      <c r="H19" s="8"/>
      <c r="I19" s="247"/>
    </row>
    <row r="20" spans="2:9" ht="21" customHeight="1">
      <c r="B20" s="28" t="s">
        <v>194</v>
      </c>
      <c r="D20" s="246"/>
      <c r="E20" s="246"/>
      <c r="F20" s="246"/>
      <c r="G20" s="246"/>
      <c r="H20" s="247"/>
      <c r="I20" s="247"/>
    </row>
    <row r="21" spans="2:9" ht="21" customHeight="1">
      <c r="B21" s="28" t="s">
        <v>195</v>
      </c>
      <c r="D21" s="246"/>
      <c r="E21" s="246"/>
      <c r="F21" s="246"/>
      <c r="G21" s="246"/>
      <c r="H21" s="247"/>
      <c r="I21" s="247"/>
    </row>
    <row r="22" spans="2:9" ht="21" customHeight="1">
      <c r="B22" s="28" t="s">
        <v>165</v>
      </c>
      <c r="D22" s="246"/>
      <c r="E22" s="246"/>
      <c r="F22" s="246"/>
      <c r="G22" s="246"/>
      <c r="H22" s="247"/>
      <c r="I22" s="247"/>
    </row>
    <row r="23" spans="2:9" ht="21" customHeight="1">
      <c r="B23" s="28" t="s">
        <v>166</v>
      </c>
      <c r="D23" s="246"/>
      <c r="E23" s="246"/>
      <c r="F23" s="246"/>
      <c r="G23" s="246"/>
      <c r="H23" s="247"/>
      <c r="I23" s="247"/>
    </row>
    <row r="24" spans="2:9" ht="21" customHeight="1">
      <c r="B24" s="248" t="s">
        <v>99</v>
      </c>
      <c r="C24" s="248"/>
      <c r="D24" s="248"/>
      <c r="E24" s="248"/>
      <c r="I24" s="247"/>
    </row>
    <row r="25" spans="2:9" ht="21" customHeight="1">
      <c r="B25" s="28"/>
      <c r="C25" s="249" t="s">
        <v>154</v>
      </c>
      <c r="D25" s="28"/>
      <c r="E25" s="247"/>
      <c r="I25" s="247"/>
    </row>
    <row r="26" spans="2:9" ht="21" customHeight="1">
      <c r="B26" s="28"/>
      <c r="C26" s="131"/>
      <c r="D26" s="28"/>
      <c r="E26" s="247"/>
      <c r="I26" s="247"/>
    </row>
    <row r="27" spans="2:9" ht="21" customHeight="1">
      <c r="B27" s="28"/>
      <c r="C27" s="130"/>
      <c r="D27" s="28"/>
      <c r="E27" s="247"/>
      <c r="I27" s="247"/>
    </row>
    <row r="28" spans="2:9" ht="21" customHeight="1">
      <c r="C28" s="131"/>
      <c r="D28" s="28"/>
      <c r="E28" s="247"/>
      <c r="I28" s="247"/>
    </row>
    <row r="29" spans="2:9" ht="17.25">
      <c r="B29" s="28"/>
      <c r="C29" s="247"/>
      <c r="D29" s="247"/>
      <c r="E29" s="247"/>
      <c r="F29" s="247"/>
      <c r="G29" s="247"/>
      <c r="H29" s="247"/>
      <c r="I29" s="247"/>
    </row>
    <row r="30" spans="2:9" ht="16.5">
      <c r="B30" s="244"/>
    </row>
    <row r="31" spans="2:9" ht="16.5">
      <c r="B31" s="244"/>
    </row>
  </sheetData>
  <mergeCells count="6">
    <mergeCell ref="A2:C2"/>
    <mergeCell ref="A3:C3"/>
    <mergeCell ref="A4:C4"/>
    <mergeCell ref="E13:H13"/>
    <mergeCell ref="B7:D7"/>
    <mergeCell ref="B5:C5"/>
  </mergeCells>
  <pageMargins left="0.19685039370078741" right="0.19685039370078741" top="0.23622047244094491" bottom="0.23622047244094491" header="0.31496062992125984" footer="0.31496062992125984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3234-B231-4A00-8A3A-7E8AF648FB20}">
  <dimension ref="A1:M41"/>
  <sheetViews>
    <sheetView workbookViewId="0">
      <selection activeCell="B10" sqref="B10"/>
    </sheetView>
  </sheetViews>
  <sheetFormatPr defaultRowHeight="12.75"/>
  <cols>
    <col min="3" max="3" width="16.28515625" bestFit="1" customWidth="1"/>
    <col min="4" max="4" width="9.28515625" customWidth="1"/>
    <col min="6" max="6" width="31.28515625" customWidth="1"/>
    <col min="7" max="7" width="16.42578125" customWidth="1"/>
  </cols>
  <sheetData>
    <row r="1" spans="1:13" ht="15">
      <c r="A1" s="275" t="s">
        <v>123</v>
      </c>
      <c r="B1" s="275"/>
      <c r="C1" s="275"/>
      <c r="D1" s="275"/>
      <c r="E1" s="275"/>
      <c r="F1" s="275"/>
      <c r="G1" s="275"/>
      <c r="H1" s="200"/>
    </row>
    <row r="2" spans="1:13" ht="15">
      <c r="A2" s="275" t="s">
        <v>124</v>
      </c>
      <c r="B2" s="275"/>
      <c r="C2" s="275"/>
      <c r="D2" s="275"/>
      <c r="E2" s="275"/>
      <c r="F2" s="275"/>
      <c r="G2" s="275"/>
      <c r="H2" s="200"/>
    </row>
    <row r="3" spans="1:13" ht="15.75">
      <c r="A3" s="276" t="s">
        <v>125</v>
      </c>
      <c r="B3" s="276"/>
      <c r="C3" s="276"/>
      <c r="D3" s="276"/>
      <c r="E3" s="276"/>
      <c r="F3" s="276"/>
      <c r="G3" s="276"/>
      <c r="H3" s="200"/>
    </row>
    <row r="4" spans="1:13" ht="15.75">
      <c r="A4" s="201"/>
      <c r="B4" s="201"/>
      <c r="C4" s="201"/>
      <c r="D4" s="201"/>
      <c r="E4" s="201"/>
      <c r="F4" s="201"/>
      <c r="G4" s="201"/>
      <c r="H4" s="200"/>
    </row>
    <row r="5" spans="1:13" ht="15.75">
      <c r="A5" s="277" t="s">
        <v>126</v>
      </c>
      <c r="B5" s="277"/>
      <c r="C5" s="277"/>
      <c r="D5" s="277"/>
      <c r="E5" s="277"/>
      <c r="F5" s="277"/>
      <c r="G5" s="277"/>
      <c r="H5" s="200"/>
    </row>
    <row r="6" spans="1:13" ht="15">
      <c r="A6" s="202" t="s">
        <v>127</v>
      </c>
      <c r="B6" s="203"/>
      <c r="C6" s="203"/>
      <c r="D6" s="203"/>
      <c r="E6" s="203"/>
      <c r="F6" s="203"/>
      <c r="G6" s="204"/>
      <c r="H6" s="204"/>
    </row>
    <row r="7" spans="1:13" ht="15">
      <c r="A7" s="202" t="s">
        <v>128</v>
      </c>
      <c r="B7" s="205"/>
      <c r="C7" s="205"/>
      <c r="D7" s="205"/>
      <c r="E7" s="205"/>
      <c r="F7" s="205"/>
      <c r="G7" s="204"/>
      <c r="H7" s="204"/>
    </row>
    <row r="8" spans="1:13" ht="14.25">
      <c r="A8" s="278" t="s">
        <v>129</v>
      </c>
      <c r="B8" s="278"/>
      <c r="C8" s="278"/>
      <c r="D8" s="278"/>
      <c r="E8" s="278"/>
      <c r="F8" s="278"/>
      <c r="G8" s="278"/>
      <c r="H8" s="204"/>
    </row>
    <row r="9" spans="1:13" ht="15">
      <c r="A9" s="202"/>
      <c r="B9" s="205"/>
      <c r="C9" s="205"/>
      <c r="D9" s="205"/>
      <c r="E9" s="205"/>
      <c r="F9" s="205"/>
      <c r="G9" s="204"/>
      <c r="H9" s="204"/>
    </row>
    <row r="10" spans="1:13" s="210" customFormat="1" ht="15">
      <c r="A10" s="206" t="s">
        <v>130</v>
      </c>
      <c r="B10" s="207"/>
      <c r="C10" s="207"/>
      <c r="D10" s="207"/>
      <c r="E10" s="208"/>
      <c r="F10" s="208"/>
      <c r="G10" s="209"/>
      <c r="H10" s="209"/>
    </row>
    <row r="11" spans="1:13" s="210" customFormat="1" ht="15">
      <c r="A11" s="206" t="s">
        <v>131</v>
      </c>
      <c r="B11" s="211"/>
      <c r="C11" s="211"/>
      <c r="D11" s="212"/>
      <c r="F11" s="213" t="s">
        <v>132</v>
      </c>
      <c r="G11" s="212"/>
      <c r="H11" s="209"/>
      <c r="J11" s="19"/>
      <c r="K11" s="19"/>
      <c r="L11" s="19"/>
      <c r="M11" s="19"/>
    </row>
    <row r="12" spans="1:13" s="210" customFormat="1" ht="14.25">
      <c r="A12" s="279" t="s">
        <v>133</v>
      </c>
      <c r="B12" s="279"/>
      <c r="C12" s="279"/>
      <c r="D12" s="279"/>
      <c r="E12" s="279"/>
      <c r="F12" s="279"/>
      <c r="G12" s="279"/>
      <c r="H12" s="209"/>
      <c r="J12" s="273"/>
      <c r="K12" s="273"/>
      <c r="L12" s="273"/>
      <c r="M12" s="273"/>
    </row>
    <row r="13" spans="1:13" s="210" customFormat="1" ht="15.75">
      <c r="A13" s="206" t="s">
        <v>134</v>
      </c>
      <c r="B13" s="207"/>
      <c r="C13" s="207"/>
      <c r="D13" s="207"/>
      <c r="E13" s="208"/>
      <c r="F13" s="208"/>
      <c r="G13" s="209"/>
      <c r="H13" s="209"/>
      <c r="J13" s="214"/>
      <c r="K13" s="129"/>
      <c r="L13" s="3"/>
      <c r="M13" s="8"/>
    </row>
    <row r="14" spans="1:13" s="210" customFormat="1" ht="15.75">
      <c r="A14" s="206" t="s">
        <v>135</v>
      </c>
      <c r="B14" s="207"/>
      <c r="C14" s="207"/>
      <c r="D14" s="209"/>
      <c r="E14" s="213" t="s">
        <v>31</v>
      </c>
      <c r="F14" s="208"/>
      <c r="G14" s="209"/>
      <c r="H14" s="209"/>
      <c r="J14" s="215"/>
      <c r="K14" s="216"/>
      <c r="L14" s="216"/>
      <c r="M14" s="216"/>
    </row>
    <row r="15" spans="1:13" s="210" customFormat="1" ht="15">
      <c r="A15" s="206"/>
      <c r="B15" s="207"/>
      <c r="C15" s="207"/>
      <c r="D15" s="207"/>
      <c r="E15" s="208"/>
      <c r="F15" s="208"/>
      <c r="G15" s="209"/>
      <c r="H15" s="209"/>
      <c r="J15" s="7"/>
      <c r="K15" s="1"/>
      <c r="L15" s="1"/>
      <c r="M15" s="1"/>
    </row>
    <row r="16" spans="1:13" s="210" customFormat="1" ht="15.75">
      <c r="A16" s="206" t="s">
        <v>136</v>
      </c>
      <c r="B16" s="213"/>
      <c r="C16" s="213"/>
      <c r="D16" s="213"/>
      <c r="E16" s="217"/>
      <c r="F16" s="208"/>
      <c r="G16" s="209"/>
      <c r="H16" s="209"/>
      <c r="J16" s="11"/>
      <c r="K16"/>
      <c r="L16"/>
      <c r="M16"/>
    </row>
    <row r="17" spans="1:13" s="210" customFormat="1" ht="15">
      <c r="A17" s="206" t="s">
        <v>137</v>
      </c>
      <c r="B17" s="213"/>
      <c r="C17" s="213"/>
      <c r="D17" s="209"/>
      <c r="G17" s="209"/>
      <c r="H17" s="209"/>
      <c r="J17" s="8"/>
      <c r="K17" s="8"/>
      <c r="L17" s="8"/>
      <c r="M17" s="8"/>
    </row>
    <row r="18" spans="1:13" ht="14.25">
      <c r="A18" s="16" t="s">
        <v>66</v>
      </c>
      <c r="B18" s="218"/>
      <c r="C18" s="16"/>
      <c r="D18" s="219"/>
      <c r="E18" s="204"/>
      <c r="F18" s="204"/>
      <c r="G18" s="204"/>
      <c r="H18" s="204"/>
    </row>
    <row r="19" spans="1:13" ht="15">
      <c r="A19" s="16" t="s">
        <v>138</v>
      </c>
      <c r="B19" s="218"/>
      <c r="C19" s="16"/>
      <c r="D19" s="220"/>
      <c r="E19" s="204"/>
      <c r="F19" s="204"/>
      <c r="G19" s="204"/>
      <c r="H19" s="204"/>
    </row>
    <row r="20" spans="1:13" ht="15">
      <c r="A20" s="16" t="s">
        <v>68</v>
      </c>
      <c r="B20" s="219"/>
      <c r="C20" s="16"/>
      <c r="D20" s="218"/>
      <c r="E20" s="203"/>
      <c r="F20" s="204"/>
      <c r="G20" s="204"/>
      <c r="H20" s="204"/>
    </row>
    <row r="21" spans="1:13" ht="15.75">
      <c r="A21" s="221"/>
      <c r="C21" s="221"/>
      <c r="D21" s="222"/>
      <c r="E21" s="200"/>
      <c r="F21" s="200"/>
      <c r="G21" s="200"/>
      <c r="H21" s="200"/>
    </row>
    <row r="22" spans="1:13" ht="15">
      <c r="A22" s="274" t="s">
        <v>139</v>
      </c>
      <c r="B22" s="274"/>
      <c r="C22" s="274"/>
      <c r="D22" s="274"/>
      <c r="E22" s="274"/>
      <c r="F22" s="274"/>
      <c r="G22" s="274"/>
      <c r="H22" s="223"/>
    </row>
    <row r="23" spans="1:13" ht="15">
      <c r="A23" s="224"/>
      <c r="B23" s="224"/>
      <c r="C23" s="224"/>
      <c r="D23" s="224"/>
      <c r="E23" s="225"/>
      <c r="F23" s="225"/>
      <c r="G23" s="225"/>
      <c r="H23" s="200"/>
    </row>
    <row r="24" spans="1:13" ht="15">
      <c r="A24" s="226" t="s">
        <v>140</v>
      </c>
      <c r="B24" s="227" t="s">
        <v>141</v>
      </c>
      <c r="C24" s="227"/>
      <c r="D24" s="228"/>
      <c r="E24" s="228"/>
      <c r="F24" s="200"/>
      <c r="G24" s="229">
        <v>114415740</v>
      </c>
      <c r="H24" s="200"/>
    </row>
    <row r="25" spans="1:13" ht="15">
      <c r="A25" s="226" t="s">
        <v>142</v>
      </c>
      <c r="B25" s="227" t="s">
        <v>143</v>
      </c>
      <c r="C25" s="227"/>
      <c r="D25" s="228"/>
      <c r="E25" s="228"/>
      <c r="F25" s="200"/>
      <c r="G25" s="229">
        <v>135151740</v>
      </c>
      <c r="H25" s="200"/>
    </row>
    <row r="26" spans="1:13" ht="15">
      <c r="A26" s="226" t="s">
        <v>144</v>
      </c>
      <c r="B26" s="227" t="s">
        <v>145</v>
      </c>
      <c r="C26" s="227"/>
      <c r="D26" s="228"/>
      <c r="E26" s="228"/>
      <c r="F26" s="200"/>
      <c r="G26" s="230">
        <v>74158350</v>
      </c>
      <c r="H26" s="200"/>
    </row>
    <row r="27" spans="1:13" ht="15">
      <c r="A27" s="226" t="s">
        <v>146</v>
      </c>
      <c r="B27" s="227" t="s">
        <v>147</v>
      </c>
      <c r="C27" s="200"/>
      <c r="D27" s="227"/>
      <c r="E27" s="228"/>
      <c r="F27" s="231"/>
      <c r="G27" s="232">
        <v>0</v>
      </c>
      <c r="H27" s="200"/>
    </row>
    <row r="28" spans="1:13" ht="15.75">
      <c r="A28" s="226" t="s">
        <v>148</v>
      </c>
      <c r="B28" s="227" t="s">
        <v>149</v>
      </c>
      <c r="C28" s="200"/>
      <c r="D28" s="227"/>
      <c r="E28" s="228"/>
      <c r="F28" s="231"/>
      <c r="G28" s="233">
        <f>G25-G26</f>
        <v>60993390</v>
      </c>
      <c r="H28" s="234"/>
    </row>
    <row r="29" spans="1:13" ht="20.25">
      <c r="A29" s="235"/>
      <c r="B29" s="200"/>
      <c r="C29" s="236"/>
      <c r="D29" s="200"/>
      <c r="E29" s="228"/>
      <c r="F29" s="237"/>
      <c r="G29" s="238"/>
      <c r="H29" s="200"/>
    </row>
    <row r="30" spans="1:13" ht="20.25">
      <c r="A30" s="239" t="s">
        <v>150</v>
      </c>
      <c r="B30" s="227"/>
      <c r="C30" s="236"/>
      <c r="D30" s="200"/>
      <c r="E30" s="228"/>
      <c r="F30" s="237"/>
      <c r="G30" s="238"/>
      <c r="H30" s="200"/>
    </row>
    <row r="31" spans="1:13" ht="15">
      <c r="A31" s="227"/>
      <c r="B31" s="227"/>
      <c r="C31" s="240"/>
      <c r="D31" s="200"/>
      <c r="E31" s="200"/>
      <c r="F31" s="241"/>
      <c r="G31" s="200"/>
      <c r="H31" s="200"/>
    </row>
    <row r="32" spans="1:13" ht="15.75">
      <c r="A32" s="227" t="s">
        <v>151</v>
      </c>
      <c r="B32" s="227"/>
      <c r="C32" s="200"/>
      <c r="D32" s="200"/>
      <c r="E32" s="200"/>
      <c r="F32" s="222"/>
      <c r="G32" s="200"/>
      <c r="H32" s="200"/>
    </row>
    <row r="33" spans="1:8" ht="15.75">
      <c r="A33" s="227"/>
      <c r="B33" s="227"/>
      <c r="C33" s="200"/>
      <c r="D33" s="200"/>
      <c r="E33" s="200"/>
      <c r="F33" s="222"/>
      <c r="G33" s="200"/>
      <c r="H33" s="200"/>
    </row>
    <row r="34" spans="1:8" ht="15">
      <c r="A34" s="227"/>
      <c r="B34" s="227"/>
      <c r="C34" s="200"/>
      <c r="D34" s="200"/>
      <c r="E34" s="200"/>
      <c r="F34" s="200"/>
      <c r="G34" s="200"/>
      <c r="H34" s="200"/>
    </row>
    <row r="35" spans="1:8" ht="15">
      <c r="A35" s="200"/>
      <c r="B35" s="200"/>
      <c r="C35" s="227" t="s">
        <v>152</v>
      </c>
      <c r="D35" s="200"/>
      <c r="E35" s="200"/>
      <c r="F35" s="227" t="s">
        <v>153</v>
      </c>
      <c r="G35" s="227"/>
      <c r="H35" s="200"/>
    </row>
    <row r="36" spans="1:8" ht="15">
      <c r="A36" s="200"/>
      <c r="B36" s="200"/>
      <c r="C36" s="200"/>
      <c r="D36" s="200"/>
      <c r="E36" s="200"/>
      <c r="F36" s="225"/>
      <c r="G36" s="225"/>
      <c r="H36" s="200"/>
    </row>
    <row r="37" spans="1:8" ht="15">
      <c r="A37" s="200"/>
      <c r="B37" s="200"/>
      <c r="C37" s="200"/>
      <c r="D37" s="200"/>
      <c r="E37" s="200"/>
      <c r="F37" s="225"/>
      <c r="G37" s="225"/>
      <c r="H37" s="200"/>
    </row>
    <row r="38" spans="1:8" ht="15">
      <c r="A38" s="200"/>
      <c r="B38" s="200"/>
      <c r="C38" s="200"/>
      <c r="D38" s="200"/>
      <c r="E38" s="200"/>
      <c r="F38" s="225"/>
      <c r="G38" s="225"/>
      <c r="H38" s="200"/>
    </row>
    <row r="39" spans="1:8" ht="15">
      <c r="A39" s="200"/>
      <c r="B39" s="200"/>
      <c r="C39" s="200"/>
      <c r="D39" s="200"/>
      <c r="E39" s="200"/>
      <c r="F39" s="225"/>
      <c r="G39" s="225"/>
      <c r="H39" s="200"/>
    </row>
    <row r="40" spans="1:8" ht="14.25">
      <c r="A40" s="204"/>
      <c r="B40" s="204"/>
      <c r="C40" s="204"/>
      <c r="D40" s="204"/>
      <c r="E40" s="204"/>
      <c r="F40" s="204" t="s">
        <v>154</v>
      </c>
      <c r="G40" s="204"/>
      <c r="H40" s="204"/>
    </row>
    <row r="41" spans="1:8" ht="15">
      <c r="A41" s="200"/>
      <c r="B41" s="200"/>
      <c r="C41" s="200"/>
      <c r="D41" s="200"/>
      <c r="E41" s="200"/>
      <c r="F41" s="200"/>
      <c r="G41" s="200"/>
      <c r="H41" s="200"/>
    </row>
  </sheetData>
  <mergeCells count="8">
    <mergeCell ref="J12:M12"/>
    <mergeCell ref="A22:G22"/>
    <mergeCell ref="A1:G1"/>
    <mergeCell ref="A2:G2"/>
    <mergeCell ref="A3:G3"/>
    <mergeCell ref="A5:G5"/>
    <mergeCell ref="A8:G8"/>
    <mergeCell ref="A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Bia</vt:lpstr>
      <vt:lpstr>Bang bao gia</vt:lpstr>
      <vt:lpstr>Biên bảng nghiệm thu</vt:lpstr>
      <vt:lpstr>quyết toán khối lượng</vt:lpstr>
      <vt:lpstr>đề nghị thanh toán</vt:lpstr>
      <vt:lpstr>Sheet1</vt:lpstr>
      <vt:lpstr>'Bang bao gia'!Print_Area</vt:lpstr>
      <vt:lpstr>'Biên bảng nghiệm thu'!Print_Area</vt:lpstr>
      <vt:lpstr>'đề nghị thanh toán'!Print_Area</vt:lpstr>
      <vt:lpstr>'quyết toán khối lượng'!Print_Area</vt:lpstr>
    </vt:vector>
  </TitlesOfParts>
  <Company>CompuNet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Hamans</dc:creator>
  <cp:lastModifiedBy>Administrator</cp:lastModifiedBy>
  <cp:lastPrinted>2026-07-27T12:08:35Z</cp:lastPrinted>
  <dcterms:created xsi:type="dcterms:W3CDTF">1996-07-02T01:31:17Z</dcterms:created>
  <dcterms:modified xsi:type="dcterms:W3CDTF">2026-07-27T12:08:37Z</dcterms:modified>
</cp:coreProperties>
</file>